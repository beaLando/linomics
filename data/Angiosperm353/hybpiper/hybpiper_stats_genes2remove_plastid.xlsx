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H:\Shared drives\Linum_genomics\data\Angiosperm353\hybpiper\"/>
    </mc:Choice>
  </mc:AlternateContent>
  <xr:revisionPtr revIDLastSave="0" documentId="13_ncr:1_{C2702F31-B023-419D-8D66-A88FFE764E25}" xr6:coauthVersionLast="36" xr6:coauthVersionMax="36" xr10:uidLastSave="{00000000-0000-0000-0000-000000000000}"/>
  <bookViews>
    <workbookView xWindow="0" yWindow="0" windowWidth="22260" windowHeight="12645" xr2:uid="{00000000-000D-0000-FFFF-FFFF00000000}"/>
  </bookViews>
  <sheets>
    <sheet name="stats" sheetId="3" r:id="rId1"/>
    <sheet name="seqLength" sheetId="1" r:id="rId2"/>
    <sheet name="paralogs" sheetId="2" r:id="rId3"/>
    <sheet name="readCounts" sheetId="4" r:id="rId4"/>
    <sheet name="genes2remove" sheetId="5" r:id="rId5"/>
    <sheet name="files2remove" sheetId="6"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6" l="1"/>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2" i="6"/>
  <c r="C41" i="2"/>
  <c r="D41" i="2"/>
  <c r="E41" i="2"/>
  <c r="F41" i="2"/>
  <c r="G41" i="2"/>
  <c r="H41" i="2"/>
  <c r="I41" i="2"/>
  <c r="J41" i="2"/>
  <c r="K41" i="2"/>
  <c r="L41" i="2"/>
  <c r="M41" i="2"/>
  <c r="N41" i="2"/>
  <c r="O41" i="2"/>
  <c r="P41" i="2"/>
  <c r="Q41" i="2"/>
  <c r="R41" i="2"/>
  <c r="S41" i="2"/>
  <c r="T41" i="2"/>
  <c r="U41" i="2"/>
  <c r="V41" i="2"/>
  <c r="W41" i="2"/>
  <c r="X41" i="2"/>
  <c r="Y41" i="2"/>
  <c r="Z41" i="2"/>
  <c r="AA41" i="2"/>
  <c r="AB41" i="2"/>
  <c r="AC41" i="2"/>
  <c r="AD41" i="2"/>
  <c r="AE41" i="2"/>
  <c r="AF41" i="2"/>
  <c r="AG41" i="2"/>
  <c r="AH41" i="2"/>
  <c r="AI41" i="2"/>
  <c r="AJ41" i="2"/>
  <c r="AK41" i="2"/>
  <c r="AL41" i="2"/>
  <c r="AM41" i="2"/>
  <c r="AN41" i="2"/>
  <c r="AO41" i="2"/>
  <c r="AP41" i="2"/>
  <c r="AQ41" i="2"/>
  <c r="AR41" i="2"/>
  <c r="AS41" i="2"/>
  <c r="AT41" i="2"/>
  <c r="AU41" i="2"/>
  <c r="AV41" i="2"/>
  <c r="AW41" i="2"/>
  <c r="AX41" i="2"/>
  <c r="AY41" i="2"/>
  <c r="AZ41" i="2"/>
  <c r="BA41" i="2"/>
  <c r="BB41" i="2"/>
  <c r="BC41" i="2"/>
  <c r="BD41" i="2"/>
  <c r="BE41" i="2"/>
  <c r="BF41" i="2"/>
  <c r="BG41" i="2"/>
  <c r="BH41" i="2"/>
  <c r="BI41" i="2"/>
  <c r="BJ41" i="2"/>
  <c r="BK41" i="2"/>
  <c r="BL41" i="2"/>
  <c r="BM41" i="2"/>
  <c r="BN41" i="2"/>
  <c r="BO41" i="2"/>
  <c r="BP41" i="2"/>
  <c r="BQ41" i="2"/>
  <c r="BR41" i="2"/>
  <c r="BS41" i="2"/>
  <c r="BT41" i="2"/>
  <c r="BU41" i="2"/>
  <c r="C42" i="2"/>
  <c r="D42" i="2"/>
  <c r="E42" i="2"/>
  <c r="F42" i="2"/>
  <c r="G42" i="2"/>
  <c r="H42" i="2"/>
  <c r="I42" i="2"/>
  <c r="J42" i="2"/>
  <c r="K42" i="2"/>
  <c r="L42" i="2"/>
  <c r="M42" i="2"/>
  <c r="N42" i="2"/>
  <c r="O42" i="2"/>
  <c r="P42" i="2"/>
  <c r="Q42" i="2"/>
  <c r="R42" i="2"/>
  <c r="S42" i="2"/>
  <c r="T42" i="2"/>
  <c r="U42" i="2"/>
  <c r="V42" i="2"/>
  <c r="W42" i="2"/>
  <c r="X42" i="2"/>
  <c r="Y42" i="2"/>
  <c r="Z42" i="2"/>
  <c r="AA42" i="2"/>
  <c r="AB42" i="2"/>
  <c r="AC42" i="2"/>
  <c r="AD42" i="2"/>
  <c r="AE42" i="2"/>
  <c r="AF42" i="2"/>
  <c r="AG42" i="2"/>
  <c r="AH42" i="2"/>
  <c r="AI42" i="2"/>
  <c r="AJ42" i="2"/>
  <c r="AK42" i="2"/>
  <c r="AL42" i="2"/>
  <c r="AM42" i="2"/>
  <c r="AN42" i="2"/>
  <c r="AO42" i="2"/>
  <c r="AP42" i="2"/>
  <c r="AQ42" i="2"/>
  <c r="AR42" i="2"/>
  <c r="AS42" i="2"/>
  <c r="AT42" i="2"/>
  <c r="AU42" i="2"/>
  <c r="AV42" i="2"/>
  <c r="AW42" i="2"/>
  <c r="AX42" i="2"/>
  <c r="AY42" i="2"/>
  <c r="AZ42" i="2"/>
  <c r="BA42" i="2"/>
  <c r="BB42" i="2"/>
  <c r="BC42" i="2"/>
  <c r="BD42" i="2"/>
  <c r="BE42" i="2"/>
  <c r="BF42" i="2"/>
  <c r="BG42" i="2"/>
  <c r="BH42" i="2"/>
  <c r="BI42" i="2"/>
  <c r="BJ42" i="2"/>
  <c r="BK42" i="2"/>
  <c r="BL42" i="2"/>
  <c r="BM42" i="2"/>
  <c r="BN42" i="2"/>
  <c r="BO42" i="2"/>
  <c r="BP42" i="2"/>
  <c r="BQ42" i="2"/>
  <c r="BR42" i="2"/>
  <c r="BS42" i="2"/>
  <c r="BT42" i="2"/>
  <c r="BU42" i="2"/>
  <c r="B42" i="2"/>
  <c r="B41" i="2"/>
  <c r="C32" i="2"/>
  <c r="D32" i="2"/>
  <c r="E32" i="2"/>
  <c r="F32" i="2"/>
  <c r="G32" i="2"/>
  <c r="H32" i="2"/>
  <c r="I32" i="2"/>
  <c r="J32" i="2"/>
  <c r="K32" i="2"/>
  <c r="L32" i="2"/>
  <c r="M32" i="2"/>
  <c r="N32" i="2"/>
  <c r="O32" i="2"/>
  <c r="P32" i="2"/>
  <c r="Q32" i="2"/>
  <c r="R32" i="2"/>
  <c r="R39" i="2" s="1"/>
  <c r="S32" i="2"/>
  <c r="T32" i="2"/>
  <c r="U32" i="2"/>
  <c r="V32" i="2"/>
  <c r="W32" i="2"/>
  <c r="X32" i="2"/>
  <c r="Y32" i="2"/>
  <c r="Z32" i="2"/>
  <c r="AA32" i="2"/>
  <c r="AB32" i="2"/>
  <c r="AC32" i="2"/>
  <c r="AD32" i="2"/>
  <c r="AE32" i="2"/>
  <c r="AF32" i="2"/>
  <c r="AG32" i="2"/>
  <c r="AH32" i="2"/>
  <c r="AH39" i="2" s="1"/>
  <c r="AI32" i="2"/>
  <c r="AJ32" i="2"/>
  <c r="AK32" i="2"/>
  <c r="AL32" i="2"/>
  <c r="AM32" i="2"/>
  <c r="AN32" i="2"/>
  <c r="AO32" i="2"/>
  <c r="AP32" i="2"/>
  <c r="AQ32" i="2"/>
  <c r="AR32" i="2"/>
  <c r="AS32" i="2"/>
  <c r="AT32" i="2"/>
  <c r="AU32" i="2"/>
  <c r="AV32" i="2"/>
  <c r="AW32" i="2"/>
  <c r="AX32" i="2"/>
  <c r="AX39" i="2" s="1"/>
  <c r="AY32" i="2"/>
  <c r="AZ32" i="2"/>
  <c r="BA32" i="2"/>
  <c r="BB32" i="2"/>
  <c r="BC32" i="2"/>
  <c r="BD32" i="2"/>
  <c r="BE32" i="2"/>
  <c r="BF32" i="2"/>
  <c r="BG32" i="2"/>
  <c r="BH32" i="2"/>
  <c r="BI32" i="2"/>
  <c r="BJ32" i="2"/>
  <c r="BK32" i="2"/>
  <c r="BL32" i="2"/>
  <c r="BM32" i="2"/>
  <c r="BN32" i="2"/>
  <c r="BN39" i="2" s="1"/>
  <c r="BO32" i="2"/>
  <c r="BP32" i="2"/>
  <c r="BQ32" i="2"/>
  <c r="BR32" i="2"/>
  <c r="BS32" i="2"/>
  <c r="BT32" i="2"/>
  <c r="BU32" i="2"/>
  <c r="C33" i="2"/>
  <c r="D33" i="2"/>
  <c r="E33" i="2"/>
  <c r="F33" i="2"/>
  <c r="G33" i="2"/>
  <c r="H33" i="2"/>
  <c r="I33" i="2"/>
  <c r="J33" i="2"/>
  <c r="K33" i="2"/>
  <c r="K40" i="2" s="1"/>
  <c r="L33" i="2"/>
  <c r="M33" i="2"/>
  <c r="N33" i="2"/>
  <c r="O33" i="2"/>
  <c r="P33" i="2"/>
  <c r="Q33" i="2"/>
  <c r="R33" i="2"/>
  <c r="S33" i="2"/>
  <c r="T33" i="2"/>
  <c r="U33" i="2"/>
  <c r="V33" i="2"/>
  <c r="W33" i="2"/>
  <c r="X33" i="2"/>
  <c r="Y33" i="2"/>
  <c r="Z33" i="2"/>
  <c r="AA33" i="2"/>
  <c r="AA40" i="2" s="1"/>
  <c r="AB33" i="2"/>
  <c r="AC33" i="2"/>
  <c r="AD33" i="2"/>
  <c r="AE33" i="2"/>
  <c r="AF33" i="2"/>
  <c r="AG33" i="2"/>
  <c r="AH33" i="2"/>
  <c r="AI33" i="2"/>
  <c r="AJ33" i="2"/>
  <c r="AK33" i="2"/>
  <c r="AL33" i="2"/>
  <c r="AM33" i="2"/>
  <c r="AN33" i="2"/>
  <c r="AO33" i="2"/>
  <c r="AP33" i="2"/>
  <c r="AQ33" i="2"/>
  <c r="AQ40" i="2" s="1"/>
  <c r="AR33" i="2"/>
  <c r="AS33" i="2"/>
  <c r="AT33" i="2"/>
  <c r="AU33" i="2"/>
  <c r="AV33" i="2"/>
  <c r="AW33" i="2"/>
  <c r="AX33" i="2"/>
  <c r="AY33" i="2"/>
  <c r="AZ33" i="2"/>
  <c r="BA33" i="2"/>
  <c r="BB33" i="2"/>
  <c r="BC33" i="2"/>
  <c r="BD33" i="2"/>
  <c r="BE33" i="2"/>
  <c r="BF33" i="2"/>
  <c r="BG33" i="2"/>
  <c r="BG40" i="2" s="1"/>
  <c r="BH33" i="2"/>
  <c r="BI33" i="2"/>
  <c r="BJ33" i="2"/>
  <c r="BK33" i="2"/>
  <c r="BL33" i="2"/>
  <c r="BM33" i="2"/>
  <c r="BN33" i="2"/>
  <c r="BO33" i="2"/>
  <c r="BP33" i="2"/>
  <c r="BQ33" i="2"/>
  <c r="BR33" i="2"/>
  <c r="BS33" i="2"/>
  <c r="BT33" i="2"/>
  <c r="BU33" i="2"/>
  <c r="C34" i="2"/>
  <c r="D34" i="2"/>
  <c r="D39" i="2" s="1"/>
  <c r="E34" i="2"/>
  <c r="F34" i="2"/>
  <c r="G34" i="2"/>
  <c r="H34" i="2"/>
  <c r="I34" i="2"/>
  <c r="J34" i="2"/>
  <c r="K34" i="2"/>
  <c r="L34" i="2"/>
  <c r="M34" i="2"/>
  <c r="N34" i="2"/>
  <c r="O34" i="2"/>
  <c r="P34" i="2"/>
  <c r="Q34" i="2"/>
  <c r="R34" i="2"/>
  <c r="S34" i="2"/>
  <c r="T34" i="2"/>
  <c r="T39" i="2" s="1"/>
  <c r="U34" i="2"/>
  <c r="V34" i="2"/>
  <c r="W34" i="2"/>
  <c r="X34" i="2"/>
  <c r="Y34" i="2"/>
  <c r="Z34" i="2"/>
  <c r="AA34" i="2"/>
  <c r="AB34" i="2"/>
  <c r="AC34" i="2"/>
  <c r="AD34" i="2"/>
  <c r="AE34" i="2"/>
  <c r="AF34" i="2"/>
  <c r="AG34" i="2"/>
  <c r="AH34" i="2"/>
  <c r="AI34" i="2"/>
  <c r="AJ34" i="2"/>
  <c r="AJ39" i="2" s="1"/>
  <c r="AK34" i="2"/>
  <c r="AL34" i="2"/>
  <c r="AM34" i="2"/>
  <c r="AN34" i="2"/>
  <c r="AO34" i="2"/>
  <c r="AP34" i="2"/>
  <c r="AQ34" i="2"/>
  <c r="AR34" i="2"/>
  <c r="AS34" i="2"/>
  <c r="AT34" i="2"/>
  <c r="AU34" i="2"/>
  <c r="AV34" i="2"/>
  <c r="AW34" i="2"/>
  <c r="AX34" i="2"/>
  <c r="AY34" i="2"/>
  <c r="AZ34" i="2"/>
  <c r="AZ39" i="2" s="1"/>
  <c r="BA34" i="2"/>
  <c r="BB34" i="2"/>
  <c r="BC34" i="2"/>
  <c r="BD34" i="2"/>
  <c r="BE34" i="2"/>
  <c r="BF34" i="2"/>
  <c r="BG34" i="2"/>
  <c r="BH34" i="2"/>
  <c r="BI34" i="2"/>
  <c r="BJ34" i="2"/>
  <c r="BK34" i="2"/>
  <c r="BL34" i="2"/>
  <c r="BM34" i="2"/>
  <c r="BN34" i="2"/>
  <c r="BO34" i="2"/>
  <c r="BP34" i="2"/>
  <c r="BP39" i="2" s="1"/>
  <c r="BQ34" i="2"/>
  <c r="BR34" i="2"/>
  <c r="BS34" i="2"/>
  <c r="BT34" i="2"/>
  <c r="BU34" i="2"/>
  <c r="C35" i="2"/>
  <c r="D35" i="2"/>
  <c r="E35" i="2"/>
  <c r="F35" i="2"/>
  <c r="G35" i="2"/>
  <c r="H35" i="2"/>
  <c r="I35" i="2"/>
  <c r="J35" i="2"/>
  <c r="K35" i="2"/>
  <c r="L35" i="2"/>
  <c r="M35" i="2"/>
  <c r="M40" i="2" s="1"/>
  <c r="N35" i="2"/>
  <c r="O35" i="2"/>
  <c r="P35" i="2"/>
  <c r="Q35" i="2"/>
  <c r="R35" i="2"/>
  <c r="S35" i="2"/>
  <c r="T35" i="2"/>
  <c r="U35" i="2"/>
  <c r="V35" i="2"/>
  <c r="W35" i="2"/>
  <c r="X35" i="2"/>
  <c r="Y35" i="2"/>
  <c r="Z35" i="2"/>
  <c r="AA35" i="2"/>
  <c r="AB35" i="2"/>
  <c r="AC35" i="2"/>
  <c r="AC40" i="2" s="1"/>
  <c r="AD35" i="2"/>
  <c r="AE35" i="2"/>
  <c r="AF35" i="2"/>
  <c r="AG35" i="2"/>
  <c r="AH35" i="2"/>
  <c r="AI35" i="2"/>
  <c r="AJ35" i="2"/>
  <c r="AK35" i="2"/>
  <c r="AL35" i="2"/>
  <c r="AM35" i="2"/>
  <c r="AN35" i="2"/>
  <c r="AO35" i="2"/>
  <c r="AP35" i="2"/>
  <c r="AQ35" i="2"/>
  <c r="AR35" i="2"/>
  <c r="AS35" i="2"/>
  <c r="AS40" i="2" s="1"/>
  <c r="AT35" i="2"/>
  <c r="AU35" i="2"/>
  <c r="AV35" i="2"/>
  <c r="AW35" i="2"/>
  <c r="AX35" i="2"/>
  <c r="AY35" i="2"/>
  <c r="AZ35" i="2"/>
  <c r="BA35" i="2"/>
  <c r="BB35" i="2"/>
  <c r="BC35" i="2"/>
  <c r="BD35" i="2"/>
  <c r="BE35" i="2"/>
  <c r="BF35" i="2"/>
  <c r="BG35" i="2"/>
  <c r="BH35" i="2"/>
  <c r="BI35" i="2"/>
  <c r="BI40" i="2" s="1"/>
  <c r="BJ35" i="2"/>
  <c r="BK35" i="2"/>
  <c r="BL35" i="2"/>
  <c r="BM35" i="2"/>
  <c r="BN35" i="2"/>
  <c r="BO35" i="2"/>
  <c r="BP35" i="2"/>
  <c r="BQ35" i="2"/>
  <c r="BR35" i="2"/>
  <c r="BS35" i="2"/>
  <c r="BT35" i="2"/>
  <c r="BU35" i="2"/>
  <c r="C36" i="2"/>
  <c r="D36" i="2"/>
  <c r="E36" i="2"/>
  <c r="F36" i="2"/>
  <c r="F40" i="2" s="1"/>
  <c r="G36" i="2"/>
  <c r="H36" i="2"/>
  <c r="I36" i="2"/>
  <c r="J36" i="2"/>
  <c r="K36" i="2"/>
  <c r="L36" i="2"/>
  <c r="M36" i="2"/>
  <c r="N36" i="2"/>
  <c r="O36" i="2"/>
  <c r="P36" i="2"/>
  <c r="Q36" i="2"/>
  <c r="Q40" i="2" s="1"/>
  <c r="R36" i="2"/>
  <c r="S36" i="2"/>
  <c r="T36" i="2"/>
  <c r="U36" i="2"/>
  <c r="V36" i="2"/>
  <c r="V40" i="2" s="1"/>
  <c r="W36" i="2"/>
  <c r="X36" i="2"/>
  <c r="Y36" i="2"/>
  <c r="Z36" i="2"/>
  <c r="AA36" i="2"/>
  <c r="AB36" i="2"/>
  <c r="AC36" i="2"/>
  <c r="AD36" i="2"/>
  <c r="AE36" i="2"/>
  <c r="AF36" i="2"/>
  <c r="AG36" i="2"/>
  <c r="AG40" i="2" s="1"/>
  <c r="AH36" i="2"/>
  <c r="AI36" i="2"/>
  <c r="AJ36" i="2"/>
  <c r="AK36" i="2"/>
  <c r="AL36" i="2"/>
  <c r="AL40" i="2" s="1"/>
  <c r="AM36" i="2"/>
  <c r="AN36" i="2"/>
  <c r="AO36" i="2"/>
  <c r="AP36" i="2"/>
  <c r="AQ36" i="2"/>
  <c r="AR36" i="2"/>
  <c r="AS36" i="2"/>
  <c r="AT36" i="2"/>
  <c r="AU36" i="2"/>
  <c r="AV36" i="2"/>
  <c r="AW36" i="2"/>
  <c r="AW40" i="2" s="1"/>
  <c r="AX36" i="2"/>
  <c r="AY36" i="2"/>
  <c r="AZ36" i="2"/>
  <c r="BA36" i="2"/>
  <c r="BB36" i="2"/>
  <c r="BB40" i="2" s="1"/>
  <c r="BC36" i="2"/>
  <c r="BD36" i="2"/>
  <c r="BE36" i="2"/>
  <c r="BF36" i="2"/>
  <c r="BG36" i="2"/>
  <c r="BH36" i="2"/>
  <c r="BI36" i="2"/>
  <c r="BJ36" i="2"/>
  <c r="BK36" i="2"/>
  <c r="BL36" i="2"/>
  <c r="BM36" i="2"/>
  <c r="BM40" i="2" s="1"/>
  <c r="BN36" i="2"/>
  <c r="BO36" i="2"/>
  <c r="BP36" i="2"/>
  <c r="BQ36" i="2"/>
  <c r="BR36" i="2"/>
  <c r="BR40" i="2" s="1"/>
  <c r="BS36" i="2"/>
  <c r="BT36" i="2"/>
  <c r="BU36" i="2"/>
  <c r="C37" i="2"/>
  <c r="D37" i="2"/>
  <c r="E37" i="2"/>
  <c r="F37" i="2"/>
  <c r="G37" i="2"/>
  <c r="H37" i="2"/>
  <c r="I37" i="2"/>
  <c r="J37" i="2"/>
  <c r="K37" i="2"/>
  <c r="L37" i="2"/>
  <c r="L40" i="2" s="1"/>
  <c r="M37" i="2"/>
  <c r="N37" i="2"/>
  <c r="O37" i="2"/>
  <c r="O40" i="2" s="1"/>
  <c r="P37" i="2"/>
  <c r="Q37" i="2"/>
  <c r="R37" i="2"/>
  <c r="S37" i="2"/>
  <c r="T37" i="2"/>
  <c r="U37" i="2"/>
  <c r="V37" i="2"/>
  <c r="W37" i="2"/>
  <c r="X37" i="2"/>
  <c r="Y37" i="2"/>
  <c r="Z37" i="2"/>
  <c r="AA37" i="2"/>
  <c r="AB37" i="2"/>
  <c r="AB40" i="2" s="1"/>
  <c r="AC37" i="2"/>
  <c r="AD37" i="2"/>
  <c r="AE37" i="2"/>
  <c r="AE40" i="2" s="1"/>
  <c r="AF37" i="2"/>
  <c r="AG37" i="2"/>
  <c r="AH37" i="2"/>
  <c r="AI37" i="2"/>
  <c r="AJ37" i="2"/>
  <c r="AK37" i="2"/>
  <c r="AL37" i="2"/>
  <c r="AM37" i="2"/>
  <c r="AN37" i="2"/>
  <c r="AO37" i="2"/>
  <c r="AP37" i="2"/>
  <c r="AQ37" i="2"/>
  <c r="AR37" i="2"/>
  <c r="AR40" i="2" s="1"/>
  <c r="AS37" i="2"/>
  <c r="AT37" i="2"/>
  <c r="AU37" i="2"/>
  <c r="AU40" i="2" s="1"/>
  <c r="AV37" i="2"/>
  <c r="AW37" i="2"/>
  <c r="AX37" i="2"/>
  <c r="AY37" i="2"/>
  <c r="AZ37" i="2"/>
  <c r="BA37" i="2"/>
  <c r="BB37" i="2"/>
  <c r="BC37" i="2"/>
  <c r="BD37" i="2"/>
  <c r="BE37" i="2"/>
  <c r="BF37" i="2"/>
  <c r="BG37" i="2"/>
  <c r="BH37" i="2"/>
  <c r="BH40" i="2" s="1"/>
  <c r="BI37" i="2"/>
  <c r="BJ37" i="2"/>
  <c r="BK37" i="2"/>
  <c r="BK40" i="2" s="1"/>
  <c r="BL37" i="2"/>
  <c r="BM37" i="2"/>
  <c r="BN37" i="2"/>
  <c r="BO37" i="2"/>
  <c r="BP37" i="2"/>
  <c r="BQ37" i="2"/>
  <c r="BR37" i="2"/>
  <c r="BS37" i="2"/>
  <c r="BT37" i="2"/>
  <c r="BU37" i="2"/>
  <c r="C38" i="2"/>
  <c r="C40" i="2" s="1"/>
  <c r="D38" i="2"/>
  <c r="E38" i="2"/>
  <c r="F38" i="2"/>
  <c r="G38" i="2"/>
  <c r="H38" i="2"/>
  <c r="H40" i="2" s="1"/>
  <c r="I38" i="2"/>
  <c r="J38" i="2"/>
  <c r="K38" i="2"/>
  <c r="L38" i="2"/>
  <c r="M38" i="2"/>
  <c r="N38" i="2"/>
  <c r="O38" i="2"/>
  <c r="P38" i="2"/>
  <c r="Q38" i="2"/>
  <c r="R38" i="2"/>
  <c r="S38" i="2"/>
  <c r="S40" i="2" s="1"/>
  <c r="T38" i="2"/>
  <c r="U38" i="2"/>
  <c r="V38" i="2"/>
  <c r="W38" i="2"/>
  <c r="X38" i="2"/>
  <c r="X40" i="2" s="1"/>
  <c r="Y38" i="2"/>
  <c r="Z38" i="2"/>
  <c r="AA38" i="2"/>
  <c r="AB38" i="2"/>
  <c r="AC38" i="2"/>
  <c r="AD38" i="2"/>
  <c r="AE38" i="2"/>
  <c r="AF38" i="2"/>
  <c r="AG38" i="2"/>
  <c r="AH38" i="2"/>
  <c r="AI38" i="2"/>
  <c r="AI40" i="2" s="1"/>
  <c r="AJ38" i="2"/>
  <c r="AK38" i="2"/>
  <c r="AL38" i="2"/>
  <c r="AM38" i="2"/>
  <c r="AN38" i="2"/>
  <c r="AN40" i="2" s="1"/>
  <c r="AO38" i="2"/>
  <c r="AP38" i="2"/>
  <c r="AQ38" i="2"/>
  <c r="AR38" i="2"/>
  <c r="AS38" i="2"/>
  <c r="AT38" i="2"/>
  <c r="AU38" i="2"/>
  <c r="AV38" i="2"/>
  <c r="AW38" i="2"/>
  <c r="AX38" i="2"/>
  <c r="AY38" i="2"/>
  <c r="AY40" i="2" s="1"/>
  <c r="AZ38" i="2"/>
  <c r="BA38" i="2"/>
  <c r="BB38" i="2"/>
  <c r="BC38" i="2"/>
  <c r="BD38" i="2"/>
  <c r="BD40" i="2" s="1"/>
  <c r="BE38" i="2"/>
  <c r="BF38" i="2"/>
  <c r="BG38" i="2"/>
  <c r="BH38" i="2"/>
  <c r="BI38" i="2"/>
  <c r="BJ38" i="2"/>
  <c r="BK38" i="2"/>
  <c r="BL38" i="2"/>
  <c r="BM38" i="2"/>
  <c r="BN38" i="2"/>
  <c r="BO38" i="2"/>
  <c r="BO40" i="2" s="1"/>
  <c r="BP38" i="2"/>
  <c r="BQ38" i="2"/>
  <c r="BR38" i="2"/>
  <c r="BS38" i="2"/>
  <c r="BT38" i="2"/>
  <c r="BT40" i="2" s="1"/>
  <c r="BU38" i="2"/>
  <c r="C39" i="2"/>
  <c r="E39" i="2"/>
  <c r="F39" i="2"/>
  <c r="G39" i="2"/>
  <c r="H39" i="2"/>
  <c r="I39" i="2"/>
  <c r="J39" i="2"/>
  <c r="L39" i="2"/>
  <c r="M39" i="2"/>
  <c r="N39" i="2"/>
  <c r="O39" i="2"/>
  <c r="P39" i="2"/>
  <c r="Q39" i="2"/>
  <c r="S39" i="2"/>
  <c r="U39" i="2"/>
  <c r="V39" i="2"/>
  <c r="W39" i="2"/>
  <c r="X39" i="2"/>
  <c r="Y39" i="2"/>
  <c r="Z39" i="2"/>
  <c r="AB39" i="2"/>
  <c r="AC39" i="2"/>
  <c r="AD39" i="2"/>
  <c r="AE39" i="2"/>
  <c r="AF39" i="2"/>
  <c r="AG39" i="2"/>
  <c r="AI39" i="2"/>
  <c r="AK39" i="2"/>
  <c r="AL39" i="2"/>
  <c r="AM39" i="2"/>
  <c r="AN39" i="2"/>
  <c r="AO39" i="2"/>
  <c r="AP39" i="2"/>
  <c r="AR39" i="2"/>
  <c r="AS39" i="2"/>
  <c r="AT39" i="2"/>
  <c r="AU39" i="2"/>
  <c r="AV39" i="2"/>
  <c r="AW39" i="2"/>
  <c r="AY39" i="2"/>
  <c r="BA39" i="2"/>
  <c r="BB39" i="2"/>
  <c r="BC39" i="2"/>
  <c r="BD39" i="2"/>
  <c r="BE39" i="2"/>
  <c r="BF39" i="2"/>
  <c r="BH39" i="2"/>
  <c r="BI39" i="2"/>
  <c r="BJ39" i="2"/>
  <c r="BK39" i="2"/>
  <c r="BL39" i="2"/>
  <c r="BM39" i="2"/>
  <c r="BO39" i="2"/>
  <c r="BQ39" i="2"/>
  <c r="BR39" i="2"/>
  <c r="BS39" i="2"/>
  <c r="BT39" i="2"/>
  <c r="BU39" i="2"/>
  <c r="E40" i="2"/>
  <c r="G40" i="2"/>
  <c r="I40" i="2"/>
  <c r="J40" i="2"/>
  <c r="N40" i="2"/>
  <c r="P40" i="2"/>
  <c r="U40" i="2"/>
  <c r="W40" i="2"/>
  <c r="Y40" i="2"/>
  <c r="Z40" i="2"/>
  <c r="AD40" i="2"/>
  <c r="AF40" i="2"/>
  <c r="AK40" i="2"/>
  <c r="AM40" i="2"/>
  <c r="AO40" i="2"/>
  <c r="AP40" i="2"/>
  <c r="AT40" i="2"/>
  <c r="AV40" i="2"/>
  <c r="BA40" i="2"/>
  <c r="BC40" i="2"/>
  <c r="BE40" i="2"/>
  <c r="BF40" i="2"/>
  <c r="BJ40" i="2"/>
  <c r="BL40" i="2"/>
  <c r="BQ40" i="2"/>
  <c r="BS40" i="2"/>
  <c r="BU40" i="2"/>
  <c r="B40" i="2"/>
  <c r="B39" i="2"/>
  <c r="B38" i="2"/>
  <c r="B37" i="2"/>
  <c r="B36" i="2"/>
  <c r="B35" i="2"/>
  <c r="B34" i="2"/>
  <c r="B33" i="2"/>
  <c r="B32" i="2"/>
  <c r="B42" i="1"/>
  <c r="BV45" i="1"/>
  <c r="BV44" i="1"/>
  <c r="BU45" i="1"/>
  <c r="BU44" i="1"/>
  <c r="C33" i="1"/>
  <c r="D33" i="1"/>
  <c r="E33" i="1"/>
  <c r="F33" i="1"/>
  <c r="G33" i="1"/>
  <c r="H33" i="1"/>
  <c r="I33" i="1"/>
  <c r="J33" i="1"/>
  <c r="K33" i="1"/>
  <c r="L33" i="1"/>
  <c r="M33" i="1"/>
  <c r="N33" i="1"/>
  <c r="O33" i="1"/>
  <c r="P33" i="1"/>
  <c r="Q33" i="1"/>
  <c r="R33" i="1"/>
  <c r="R40" i="1" s="1"/>
  <c r="R44" i="1" s="1"/>
  <c r="R46" i="1" s="1"/>
  <c r="S33" i="1"/>
  <c r="T33" i="1"/>
  <c r="U33" i="1"/>
  <c r="V33" i="1"/>
  <c r="W33" i="1"/>
  <c r="X33" i="1"/>
  <c r="Y33" i="1"/>
  <c r="Z33" i="1"/>
  <c r="AA33" i="1"/>
  <c r="AB33" i="1"/>
  <c r="AC33" i="1"/>
  <c r="AD33" i="1"/>
  <c r="AE33" i="1"/>
  <c r="AF33" i="1"/>
  <c r="AG33" i="1"/>
  <c r="AH33" i="1"/>
  <c r="AH40" i="1" s="1"/>
  <c r="AH44" i="1" s="1"/>
  <c r="AH46" i="1" s="1"/>
  <c r="AI33" i="1"/>
  <c r="AJ33" i="1"/>
  <c r="AK33" i="1"/>
  <c r="AL33" i="1"/>
  <c r="AM33" i="1"/>
  <c r="AN33" i="1"/>
  <c r="AO33" i="1"/>
  <c r="AP33" i="1"/>
  <c r="AQ33" i="1"/>
  <c r="AR33" i="1"/>
  <c r="AS33" i="1"/>
  <c r="AT33" i="1"/>
  <c r="AU33" i="1"/>
  <c r="AV33" i="1"/>
  <c r="AW33" i="1"/>
  <c r="AX33" i="1"/>
  <c r="AX40" i="1" s="1"/>
  <c r="AX44" i="1" s="1"/>
  <c r="AX46" i="1" s="1"/>
  <c r="AY33" i="1"/>
  <c r="AZ33" i="1"/>
  <c r="BA33" i="1"/>
  <c r="BB33" i="1"/>
  <c r="BC33" i="1"/>
  <c r="BD33" i="1"/>
  <c r="BE33" i="1"/>
  <c r="BF33" i="1"/>
  <c r="BG33" i="1"/>
  <c r="BH33" i="1"/>
  <c r="BI33" i="1"/>
  <c r="BJ33" i="1"/>
  <c r="BK33" i="1"/>
  <c r="BL33" i="1"/>
  <c r="BM33" i="1"/>
  <c r="BN33" i="1"/>
  <c r="BN40" i="1" s="1"/>
  <c r="BN44" i="1" s="1"/>
  <c r="BN46" i="1" s="1"/>
  <c r="BO33" i="1"/>
  <c r="BP33" i="1"/>
  <c r="BQ33" i="1"/>
  <c r="BR33" i="1"/>
  <c r="BS33" i="1"/>
  <c r="BT33" i="1"/>
  <c r="BU33" i="1"/>
  <c r="B43" i="1"/>
  <c r="B41" i="1"/>
  <c r="B40" i="1"/>
  <c r="B35" i="1"/>
  <c r="B34" i="1"/>
  <c r="B33" i="1"/>
  <c r="L47" i="1"/>
  <c r="AB47" i="1"/>
  <c r="AR47" i="1"/>
  <c r="BH47" i="1"/>
  <c r="Z46" i="1"/>
  <c r="AP46" i="1"/>
  <c r="BF46" i="1"/>
  <c r="C44" i="1"/>
  <c r="C46" i="1" s="1"/>
  <c r="J44" i="1"/>
  <c r="J46" i="1" s="1"/>
  <c r="K44" i="1"/>
  <c r="K46" i="1" s="1"/>
  <c r="L44" i="1"/>
  <c r="L46" i="1" s="1"/>
  <c r="N44" i="1"/>
  <c r="N46" i="1" s="1"/>
  <c r="S44" i="1"/>
  <c r="S46" i="1" s="1"/>
  <c r="Z44" i="1"/>
  <c r="AA44" i="1"/>
  <c r="AA46" i="1" s="1"/>
  <c r="AB44" i="1"/>
  <c r="AB46" i="1" s="1"/>
  <c r="AD44" i="1"/>
  <c r="AD46" i="1" s="1"/>
  <c r="AI44" i="1"/>
  <c r="AI46" i="1" s="1"/>
  <c r="AP44" i="1"/>
  <c r="AQ44" i="1"/>
  <c r="AQ46" i="1" s="1"/>
  <c r="AR44" i="1"/>
  <c r="AR46" i="1" s="1"/>
  <c r="AT44" i="1"/>
  <c r="AT46" i="1" s="1"/>
  <c r="AY44" i="1"/>
  <c r="AY46" i="1" s="1"/>
  <c r="BF44" i="1"/>
  <c r="BG44" i="1"/>
  <c r="BG46" i="1" s="1"/>
  <c r="BH44" i="1"/>
  <c r="BH46" i="1" s="1"/>
  <c r="BJ44" i="1"/>
  <c r="BJ46" i="1" s="1"/>
  <c r="BO44" i="1"/>
  <c r="BO46" i="1" s="1"/>
  <c r="C45" i="1"/>
  <c r="C47" i="1" s="1"/>
  <c r="D45" i="1"/>
  <c r="D47" i="1" s="1"/>
  <c r="E45" i="1"/>
  <c r="E47" i="1" s="1"/>
  <c r="G45" i="1"/>
  <c r="G47" i="1" s="1"/>
  <c r="K45" i="1"/>
  <c r="K47" i="1" s="1"/>
  <c r="L45" i="1"/>
  <c r="S45" i="1"/>
  <c r="S47" i="1" s="1"/>
  <c r="T45" i="1"/>
  <c r="T47" i="1" s="1"/>
  <c r="U45" i="1"/>
  <c r="U47" i="1" s="1"/>
  <c r="W45" i="1"/>
  <c r="W47" i="1" s="1"/>
  <c r="AA45" i="1"/>
  <c r="AA47" i="1" s="1"/>
  <c r="AB45" i="1"/>
  <c r="AI45" i="1"/>
  <c r="AI47" i="1" s="1"/>
  <c r="AJ45" i="1"/>
  <c r="AJ47" i="1" s="1"/>
  <c r="AK45" i="1"/>
  <c r="AK47" i="1" s="1"/>
  <c r="AM45" i="1"/>
  <c r="AM47" i="1" s="1"/>
  <c r="AQ45" i="1"/>
  <c r="AQ47" i="1" s="1"/>
  <c r="AR45" i="1"/>
  <c r="AY45" i="1"/>
  <c r="AY47" i="1" s="1"/>
  <c r="AZ45" i="1"/>
  <c r="AZ47" i="1" s="1"/>
  <c r="BA45" i="1"/>
  <c r="BA47" i="1" s="1"/>
  <c r="BC45" i="1"/>
  <c r="BC47" i="1" s="1"/>
  <c r="BG45" i="1"/>
  <c r="BG47" i="1" s="1"/>
  <c r="BH45" i="1"/>
  <c r="BO45" i="1"/>
  <c r="BO47" i="1" s="1"/>
  <c r="BP45" i="1"/>
  <c r="BP47" i="1" s="1"/>
  <c r="BQ45" i="1"/>
  <c r="BQ47" i="1" s="1"/>
  <c r="BS45" i="1"/>
  <c r="BS47" i="1" s="1"/>
  <c r="C42" i="1"/>
  <c r="D42" i="1"/>
  <c r="E42" i="1"/>
  <c r="F42" i="1"/>
  <c r="G42" i="1"/>
  <c r="H42" i="1"/>
  <c r="I42" i="1"/>
  <c r="J42" i="1"/>
  <c r="K42" i="1"/>
  <c r="L42" i="1"/>
  <c r="M42" i="1"/>
  <c r="N42" i="1"/>
  <c r="O42" i="1"/>
  <c r="P42" i="1"/>
  <c r="Q42" i="1"/>
  <c r="R42" i="1"/>
  <c r="S42" i="1"/>
  <c r="T42" i="1"/>
  <c r="U42" i="1"/>
  <c r="V42" i="1"/>
  <c r="W42" i="1"/>
  <c r="X42" i="1"/>
  <c r="Y42" i="1"/>
  <c r="Z42" i="1"/>
  <c r="AA42" i="1"/>
  <c r="AB42" i="1"/>
  <c r="AC42" i="1"/>
  <c r="AD42" i="1"/>
  <c r="AE42" i="1"/>
  <c r="AF42" i="1"/>
  <c r="AG42" i="1"/>
  <c r="AH42" i="1"/>
  <c r="AI42" i="1"/>
  <c r="AJ42" i="1"/>
  <c r="AK42" i="1"/>
  <c r="AL42" i="1"/>
  <c r="AM42" i="1"/>
  <c r="AN42" i="1"/>
  <c r="AO42" i="1"/>
  <c r="AP42" i="1"/>
  <c r="AQ42" i="1"/>
  <c r="AR42" i="1"/>
  <c r="AS42" i="1"/>
  <c r="AT42" i="1"/>
  <c r="AU42" i="1"/>
  <c r="AV42" i="1"/>
  <c r="AW42" i="1"/>
  <c r="AX42" i="1"/>
  <c r="AY42" i="1"/>
  <c r="AZ42" i="1"/>
  <c r="BA42" i="1"/>
  <c r="BB42" i="1"/>
  <c r="BC42" i="1"/>
  <c r="BD42" i="1"/>
  <c r="BE42" i="1"/>
  <c r="BF42" i="1"/>
  <c r="BG42" i="1"/>
  <c r="BH42" i="1"/>
  <c r="BI42" i="1"/>
  <c r="BJ42" i="1"/>
  <c r="BK42" i="1"/>
  <c r="BL42" i="1"/>
  <c r="BM42" i="1"/>
  <c r="BN42" i="1"/>
  <c r="BO42" i="1"/>
  <c r="BP42" i="1"/>
  <c r="BQ42" i="1"/>
  <c r="BR42" i="1"/>
  <c r="BS42" i="1"/>
  <c r="BT42" i="1"/>
  <c r="BU42" i="1"/>
  <c r="C43" i="1"/>
  <c r="D43" i="1"/>
  <c r="E43" i="1"/>
  <c r="F43" i="1"/>
  <c r="G43" i="1"/>
  <c r="H43" i="1"/>
  <c r="I43" i="1"/>
  <c r="J43" i="1"/>
  <c r="K43" i="1"/>
  <c r="L43" i="1"/>
  <c r="M43" i="1"/>
  <c r="N43" i="1"/>
  <c r="O43" i="1"/>
  <c r="P43" i="1"/>
  <c r="Q43" i="1"/>
  <c r="R43" i="1"/>
  <c r="S43" i="1"/>
  <c r="T43" i="1"/>
  <c r="U43" i="1"/>
  <c r="V43" i="1"/>
  <c r="W43" i="1"/>
  <c r="X43" i="1"/>
  <c r="Y43" i="1"/>
  <c r="Z43" i="1"/>
  <c r="AA43" i="1"/>
  <c r="AB43" i="1"/>
  <c r="AC43" i="1"/>
  <c r="AD43" i="1"/>
  <c r="AE43" i="1"/>
  <c r="AF43" i="1"/>
  <c r="AG43" i="1"/>
  <c r="AH43" i="1"/>
  <c r="AI43" i="1"/>
  <c r="AJ43" i="1"/>
  <c r="AK43" i="1"/>
  <c r="AL43" i="1"/>
  <c r="AM43" i="1"/>
  <c r="AN43" i="1"/>
  <c r="AO43" i="1"/>
  <c r="AP43" i="1"/>
  <c r="AQ43" i="1"/>
  <c r="AR43" i="1"/>
  <c r="AS43" i="1"/>
  <c r="AT43" i="1"/>
  <c r="AU43" i="1"/>
  <c r="AV43" i="1"/>
  <c r="AW43" i="1"/>
  <c r="AX43" i="1"/>
  <c r="AY43" i="1"/>
  <c r="AZ43" i="1"/>
  <c r="BA43" i="1"/>
  <c r="BB43" i="1"/>
  <c r="BC43" i="1"/>
  <c r="BD43" i="1"/>
  <c r="BE43" i="1"/>
  <c r="BF43" i="1"/>
  <c r="BG43" i="1"/>
  <c r="BH43" i="1"/>
  <c r="BI43" i="1"/>
  <c r="BJ43" i="1"/>
  <c r="BK43" i="1"/>
  <c r="BL43" i="1"/>
  <c r="BM43" i="1"/>
  <c r="BN43" i="1"/>
  <c r="BO43" i="1"/>
  <c r="BP43" i="1"/>
  <c r="BQ43" i="1"/>
  <c r="BR43" i="1"/>
  <c r="BS43" i="1"/>
  <c r="BT43" i="1"/>
  <c r="BU43" i="1"/>
  <c r="C40" i="1"/>
  <c r="D40" i="1"/>
  <c r="D44" i="1" s="1"/>
  <c r="D46" i="1" s="1"/>
  <c r="E40" i="1"/>
  <c r="E44" i="1" s="1"/>
  <c r="E46" i="1" s="1"/>
  <c r="F40" i="1"/>
  <c r="F44" i="1" s="1"/>
  <c r="F46" i="1" s="1"/>
  <c r="G40" i="1"/>
  <c r="G44" i="1" s="1"/>
  <c r="G46" i="1" s="1"/>
  <c r="H40" i="1"/>
  <c r="H44" i="1" s="1"/>
  <c r="H46" i="1" s="1"/>
  <c r="I40" i="1"/>
  <c r="I44" i="1" s="1"/>
  <c r="I46" i="1" s="1"/>
  <c r="J40" i="1"/>
  <c r="K40" i="1"/>
  <c r="L40" i="1"/>
  <c r="M40" i="1"/>
  <c r="M44" i="1" s="1"/>
  <c r="M46" i="1" s="1"/>
  <c r="N40" i="1"/>
  <c r="O40" i="1"/>
  <c r="O44" i="1" s="1"/>
  <c r="O46" i="1" s="1"/>
  <c r="P40" i="1"/>
  <c r="P44" i="1" s="1"/>
  <c r="P46" i="1" s="1"/>
  <c r="Q40" i="1"/>
  <c r="Q44" i="1" s="1"/>
  <c r="Q46" i="1" s="1"/>
  <c r="S40" i="1"/>
  <c r="T40" i="1"/>
  <c r="T44" i="1" s="1"/>
  <c r="T46" i="1" s="1"/>
  <c r="U40" i="1"/>
  <c r="U44" i="1" s="1"/>
  <c r="U46" i="1" s="1"/>
  <c r="V40" i="1"/>
  <c r="V44" i="1" s="1"/>
  <c r="V46" i="1" s="1"/>
  <c r="W40" i="1"/>
  <c r="W44" i="1" s="1"/>
  <c r="W46" i="1" s="1"/>
  <c r="X40" i="1"/>
  <c r="X44" i="1" s="1"/>
  <c r="X46" i="1" s="1"/>
  <c r="Y40" i="1"/>
  <c r="Y44" i="1" s="1"/>
  <c r="Y46" i="1" s="1"/>
  <c r="Z40" i="1"/>
  <c r="AA40" i="1"/>
  <c r="AB40" i="1"/>
  <c r="AC40" i="1"/>
  <c r="AC44" i="1" s="1"/>
  <c r="AC46" i="1" s="1"/>
  <c r="AD40" i="1"/>
  <c r="AE40" i="1"/>
  <c r="AE44" i="1" s="1"/>
  <c r="AE46" i="1" s="1"/>
  <c r="AF40" i="1"/>
  <c r="AF44" i="1" s="1"/>
  <c r="AF46" i="1" s="1"/>
  <c r="AG40" i="1"/>
  <c r="AG44" i="1" s="1"/>
  <c r="AG46" i="1" s="1"/>
  <c r="AI40" i="1"/>
  <c r="AJ40" i="1"/>
  <c r="AJ44" i="1" s="1"/>
  <c r="AJ46" i="1" s="1"/>
  <c r="AK40" i="1"/>
  <c r="AK44" i="1" s="1"/>
  <c r="AK46" i="1" s="1"/>
  <c r="AL40" i="1"/>
  <c r="AL44" i="1" s="1"/>
  <c r="AL46" i="1" s="1"/>
  <c r="AM40" i="1"/>
  <c r="AM44" i="1" s="1"/>
  <c r="AM46" i="1" s="1"/>
  <c r="AN40" i="1"/>
  <c r="AN44" i="1" s="1"/>
  <c r="AN46" i="1" s="1"/>
  <c r="AO40" i="1"/>
  <c r="AO44" i="1" s="1"/>
  <c r="AO46" i="1" s="1"/>
  <c r="AP40" i="1"/>
  <c r="AQ40" i="1"/>
  <c r="AR40" i="1"/>
  <c r="AS40" i="1"/>
  <c r="AS44" i="1" s="1"/>
  <c r="AS46" i="1" s="1"/>
  <c r="AT40" i="1"/>
  <c r="AU40" i="1"/>
  <c r="AU44" i="1" s="1"/>
  <c r="AU46" i="1" s="1"/>
  <c r="AV40" i="1"/>
  <c r="AV44" i="1" s="1"/>
  <c r="AV46" i="1" s="1"/>
  <c r="AW40" i="1"/>
  <c r="AW44" i="1" s="1"/>
  <c r="AW46" i="1" s="1"/>
  <c r="AY40" i="1"/>
  <c r="AZ40" i="1"/>
  <c r="AZ44" i="1" s="1"/>
  <c r="AZ46" i="1" s="1"/>
  <c r="BA40" i="1"/>
  <c r="BA44" i="1" s="1"/>
  <c r="BA46" i="1" s="1"/>
  <c r="BB40" i="1"/>
  <c r="BB44" i="1" s="1"/>
  <c r="BB46" i="1" s="1"/>
  <c r="BC40" i="1"/>
  <c r="BC44" i="1" s="1"/>
  <c r="BC46" i="1" s="1"/>
  <c r="BD40" i="1"/>
  <c r="BD44" i="1" s="1"/>
  <c r="BD46" i="1" s="1"/>
  <c r="BE40" i="1"/>
  <c r="BE44" i="1" s="1"/>
  <c r="BE46" i="1" s="1"/>
  <c r="BF40" i="1"/>
  <c r="BG40" i="1"/>
  <c r="BH40" i="1"/>
  <c r="BI40" i="1"/>
  <c r="BI44" i="1" s="1"/>
  <c r="BI46" i="1" s="1"/>
  <c r="BJ40" i="1"/>
  <c r="BK40" i="1"/>
  <c r="BK44" i="1" s="1"/>
  <c r="BK46" i="1" s="1"/>
  <c r="BL40" i="1"/>
  <c r="BL44" i="1" s="1"/>
  <c r="BL46" i="1" s="1"/>
  <c r="BM40" i="1"/>
  <c r="BM44" i="1" s="1"/>
  <c r="BM46" i="1" s="1"/>
  <c r="BO40" i="1"/>
  <c r="BP40" i="1"/>
  <c r="BP44" i="1" s="1"/>
  <c r="BP46" i="1" s="1"/>
  <c r="BQ40" i="1"/>
  <c r="BQ44" i="1" s="1"/>
  <c r="BQ46" i="1" s="1"/>
  <c r="BR40" i="1"/>
  <c r="BR44" i="1" s="1"/>
  <c r="BR46" i="1" s="1"/>
  <c r="BS40" i="1"/>
  <c r="BS44" i="1" s="1"/>
  <c r="BS46" i="1" s="1"/>
  <c r="BT40" i="1"/>
  <c r="BT44" i="1" s="1"/>
  <c r="BT46" i="1" s="1"/>
  <c r="BU40" i="1"/>
  <c r="BU46" i="1" s="1"/>
  <c r="C41" i="1"/>
  <c r="D41" i="1"/>
  <c r="E41" i="1"/>
  <c r="F41" i="1"/>
  <c r="F45" i="1" s="1"/>
  <c r="F47" i="1" s="1"/>
  <c r="G41" i="1"/>
  <c r="H41" i="1"/>
  <c r="H45" i="1" s="1"/>
  <c r="H47" i="1" s="1"/>
  <c r="I41" i="1"/>
  <c r="I45" i="1" s="1"/>
  <c r="I47" i="1" s="1"/>
  <c r="J41" i="1"/>
  <c r="J45" i="1" s="1"/>
  <c r="J47" i="1" s="1"/>
  <c r="K41" i="1"/>
  <c r="L41" i="1"/>
  <c r="M41" i="1"/>
  <c r="M45" i="1" s="1"/>
  <c r="M47" i="1" s="1"/>
  <c r="N41" i="1"/>
  <c r="N45" i="1" s="1"/>
  <c r="N47" i="1" s="1"/>
  <c r="O41" i="1"/>
  <c r="O45" i="1" s="1"/>
  <c r="O47" i="1" s="1"/>
  <c r="P41" i="1"/>
  <c r="P45" i="1" s="1"/>
  <c r="P47" i="1" s="1"/>
  <c r="Q41" i="1"/>
  <c r="Q45" i="1" s="1"/>
  <c r="Q47" i="1" s="1"/>
  <c r="S41" i="1"/>
  <c r="T41" i="1"/>
  <c r="U41" i="1"/>
  <c r="V41" i="1"/>
  <c r="V45" i="1" s="1"/>
  <c r="V47" i="1" s="1"/>
  <c r="W41" i="1"/>
  <c r="X41" i="1"/>
  <c r="X45" i="1" s="1"/>
  <c r="X47" i="1" s="1"/>
  <c r="Y41" i="1"/>
  <c r="Y45" i="1" s="1"/>
  <c r="Y47" i="1" s="1"/>
  <c r="Z41" i="1"/>
  <c r="Z45" i="1" s="1"/>
  <c r="Z47" i="1" s="1"/>
  <c r="AA41" i="1"/>
  <c r="AB41" i="1"/>
  <c r="AC41" i="1"/>
  <c r="AC45" i="1" s="1"/>
  <c r="AC47" i="1" s="1"/>
  <c r="AD41" i="1"/>
  <c r="AD45" i="1" s="1"/>
  <c r="AD47" i="1" s="1"/>
  <c r="AE41" i="1"/>
  <c r="AE45" i="1" s="1"/>
  <c r="AE47" i="1" s="1"/>
  <c r="AF41" i="1"/>
  <c r="AF45" i="1" s="1"/>
  <c r="AF47" i="1" s="1"/>
  <c r="AG41" i="1"/>
  <c r="AG45" i="1" s="1"/>
  <c r="AG47" i="1" s="1"/>
  <c r="AI41" i="1"/>
  <c r="AJ41" i="1"/>
  <c r="AK41" i="1"/>
  <c r="AL41" i="1"/>
  <c r="AL45" i="1" s="1"/>
  <c r="AL47" i="1" s="1"/>
  <c r="AM41" i="1"/>
  <c r="AN41" i="1"/>
  <c r="AN45" i="1" s="1"/>
  <c r="AN47" i="1" s="1"/>
  <c r="AO41" i="1"/>
  <c r="AO45" i="1" s="1"/>
  <c r="AO47" i="1" s="1"/>
  <c r="AP41" i="1"/>
  <c r="AP45" i="1" s="1"/>
  <c r="AP47" i="1" s="1"/>
  <c r="AQ41" i="1"/>
  <c r="AR41" i="1"/>
  <c r="AS41" i="1"/>
  <c r="AS45" i="1" s="1"/>
  <c r="AS47" i="1" s="1"/>
  <c r="AT41" i="1"/>
  <c r="AT45" i="1" s="1"/>
  <c r="AT47" i="1" s="1"/>
  <c r="AU41" i="1"/>
  <c r="AU45" i="1" s="1"/>
  <c r="AU47" i="1" s="1"/>
  <c r="AV41" i="1"/>
  <c r="AV45" i="1" s="1"/>
  <c r="AV47" i="1" s="1"/>
  <c r="AW41" i="1"/>
  <c r="AW45" i="1" s="1"/>
  <c r="AW47" i="1" s="1"/>
  <c r="AY41" i="1"/>
  <c r="AZ41" i="1"/>
  <c r="BA41" i="1"/>
  <c r="BB41" i="1"/>
  <c r="BB45" i="1" s="1"/>
  <c r="BB47" i="1" s="1"/>
  <c r="BC41" i="1"/>
  <c r="BD41" i="1"/>
  <c r="BD45" i="1" s="1"/>
  <c r="BD47" i="1" s="1"/>
  <c r="BE41" i="1"/>
  <c r="BE45" i="1" s="1"/>
  <c r="BE47" i="1" s="1"/>
  <c r="BF41" i="1"/>
  <c r="BF45" i="1" s="1"/>
  <c r="BF47" i="1" s="1"/>
  <c r="BG41" i="1"/>
  <c r="BH41" i="1"/>
  <c r="BI41" i="1"/>
  <c r="BI45" i="1" s="1"/>
  <c r="BI47" i="1" s="1"/>
  <c r="BJ41" i="1"/>
  <c r="BJ45" i="1" s="1"/>
  <c r="BJ47" i="1" s="1"/>
  <c r="BK41" i="1"/>
  <c r="BK45" i="1" s="1"/>
  <c r="BK47" i="1" s="1"/>
  <c r="BL41" i="1"/>
  <c r="BL45" i="1" s="1"/>
  <c r="BL47" i="1" s="1"/>
  <c r="BM41" i="1"/>
  <c r="BM45" i="1" s="1"/>
  <c r="BM47" i="1" s="1"/>
  <c r="BO41" i="1"/>
  <c r="BP41" i="1"/>
  <c r="BQ41" i="1"/>
  <c r="BR41" i="1"/>
  <c r="BR45" i="1" s="1"/>
  <c r="BR47" i="1" s="1"/>
  <c r="BS41" i="1"/>
  <c r="BT41" i="1"/>
  <c r="BT45" i="1" s="1"/>
  <c r="BT47" i="1" s="1"/>
  <c r="BU41" i="1"/>
  <c r="BU47" i="1" s="1"/>
  <c r="C36" i="1"/>
  <c r="D36" i="1"/>
  <c r="E36" i="1"/>
  <c r="F36" i="1"/>
  <c r="G36" i="1"/>
  <c r="H36" i="1"/>
  <c r="I36" i="1"/>
  <c r="J36" i="1"/>
  <c r="K36" i="1"/>
  <c r="L36" i="1"/>
  <c r="M36" i="1"/>
  <c r="N36" i="1"/>
  <c r="O36" i="1"/>
  <c r="P36" i="1"/>
  <c r="Q36" i="1"/>
  <c r="R36" i="1"/>
  <c r="S36" i="1"/>
  <c r="T36" i="1"/>
  <c r="U36" i="1"/>
  <c r="V36" i="1"/>
  <c r="W36" i="1"/>
  <c r="X36" i="1"/>
  <c r="Y36" i="1"/>
  <c r="Z36" i="1"/>
  <c r="AA36" i="1"/>
  <c r="AB36" i="1"/>
  <c r="AC36" i="1"/>
  <c r="AD36" i="1"/>
  <c r="AE36" i="1"/>
  <c r="AF36" i="1"/>
  <c r="AG36" i="1"/>
  <c r="AH36" i="1"/>
  <c r="AI36" i="1"/>
  <c r="AJ36" i="1"/>
  <c r="AK36" i="1"/>
  <c r="AL36" i="1"/>
  <c r="AM36" i="1"/>
  <c r="AN36" i="1"/>
  <c r="AO36" i="1"/>
  <c r="AP36" i="1"/>
  <c r="AQ36" i="1"/>
  <c r="AR36" i="1"/>
  <c r="AS36" i="1"/>
  <c r="AT36" i="1"/>
  <c r="AU36" i="1"/>
  <c r="AV36" i="1"/>
  <c r="AW36" i="1"/>
  <c r="AX36" i="1"/>
  <c r="AY36" i="1"/>
  <c r="AZ36" i="1"/>
  <c r="BA36" i="1"/>
  <c r="BB36" i="1"/>
  <c r="BC36" i="1"/>
  <c r="BD36" i="1"/>
  <c r="BE36" i="1"/>
  <c r="BF36" i="1"/>
  <c r="BG36" i="1"/>
  <c r="BH36" i="1"/>
  <c r="BI36" i="1"/>
  <c r="BJ36" i="1"/>
  <c r="BK36" i="1"/>
  <c r="BL36" i="1"/>
  <c r="BM36" i="1"/>
  <c r="BN36" i="1"/>
  <c r="BO36" i="1"/>
  <c r="BP36" i="1"/>
  <c r="BQ36" i="1"/>
  <c r="BR36" i="1"/>
  <c r="BS36" i="1"/>
  <c r="BT36" i="1"/>
  <c r="BU36" i="1"/>
  <c r="C37" i="1"/>
  <c r="D37" i="1"/>
  <c r="E37" i="1"/>
  <c r="F37" i="1"/>
  <c r="G37" i="1"/>
  <c r="H37" i="1"/>
  <c r="I37" i="1"/>
  <c r="J37" i="1"/>
  <c r="K37" i="1"/>
  <c r="L37" i="1"/>
  <c r="M37" i="1"/>
  <c r="N37" i="1"/>
  <c r="O37" i="1"/>
  <c r="P37" i="1"/>
  <c r="Q37" i="1"/>
  <c r="R37" i="1"/>
  <c r="S37" i="1"/>
  <c r="T37" i="1"/>
  <c r="U37" i="1"/>
  <c r="V37" i="1"/>
  <c r="W37" i="1"/>
  <c r="X37" i="1"/>
  <c r="Y37" i="1"/>
  <c r="Z37" i="1"/>
  <c r="AA37" i="1"/>
  <c r="AB37" i="1"/>
  <c r="AC37" i="1"/>
  <c r="AD37" i="1"/>
  <c r="AE37" i="1"/>
  <c r="AF37" i="1"/>
  <c r="AG37" i="1"/>
  <c r="AH37" i="1"/>
  <c r="AI37" i="1"/>
  <c r="AJ37" i="1"/>
  <c r="AK37" i="1"/>
  <c r="AL37" i="1"/>
  <c r="AM37" i="1"/>
  <c r="AN37" i="1"/>
  <c r="AO37" i="1"/>
  <c r="AP37" i="1"/>
  <c r="AQ37" i="1"/>
  <c r="AR37" i="1"/>
  <c r="AS37" i="1"/>
  <c r="AT37" i="1"/>
  <c r="AU37" i="1"/>
  <c r="AV37" i="1"/>
  <c r="AW37" i="1"/>
  <c r="AX37" i="1"/>
  <c r="AY37" i="1"/>
  <c r="AZ37" i="1"/>
  <c r="BA37" i="1"/>
  <c r="BB37" i="1"/>
  <c r="BC37" i="1"/>
  <c r="BD37" i="1"/>
  <c r="BE37" i="1"/>
  <c r="BF37" i="1"/>
  <c r="BG37" i="1"/>
  <c r="BH37" i="1"/>
  <c r="BI37" i="1"/>
  <c r="BJ37" i="1"/>
  <c r="BK37" i="1"/>
  <c r="BL37" i="1"/>
  <c r="BM37" i="1"/>
  <c r="BN37" i="1"/>
  <c r="BO37" i="1"/>
  <c r="BP37" i="1"/>
  <c r="BQ37" i="1"/>
  <c r="BR37" i="1"/>
  <c r="BS37" i="1"/>
  <c r="BT37" i="1"/>
  <c r="BU37" i="1"/>
  <c r="C38" i="1"/>
  <c r="D38" i="1"/>
  <c r="E38" i="1"/>
  <c r="F38" i="1"/>
  <c r="G38" i="1"/>
  <c r="H38" i="1"/>
  <c r="I38" i="1"/>
  <c r="J38" i="1"/>
  <c r="K38" i="1"/>
  <c r="L38" i="1"/>
  <c r="M38" i="1"/>
  <c r="N38" i="1"/>
  <c r="O38" i="1"/>
  <c r="P38" i="1"/>
  <c r="Q38" i="1"/>
  <c r="R38" i="1"/>
  <c r="S38" i="1"/>
  <c r="T38" i="1"/>
  <c r="U38" i="1"/>
  <c r="V38" i="1"/>
  <c r="W38" i="1"/>
  <c r="X38" i="1"/>
  <c r="Y38" i="1"/>
  <c r="Z38" i="1"/>
  <c r="AA38" i="1"/>
  <c r="AB38" i="1"/>
  <c r="AC38" i="1"/>
  <c r="AD38" i="1"/>
  <c r="AE38" i="1"/>
  <c r="AF38" i="1"/>
  <c r="AG38" i="1"/>
  <c r="AH38" i="1"/>
  <c r="AI38" i="1"/>
  <c r="AJ38" i="1"/>
  <c r="AK38" i="1"/>
  <c r="AL38" i="1"/>
  <c r="AM38" i="1"/>
  <c r="AN38" i="1"/>
  <c r="AO38" i="1"/>
  <c r="AP38" i="1"/>
  <c r="AQ38" i="1"/>
  <c r="AR38" i="1"/>
  <c r="AS38" i="1"/>
  <c r="AT38" i="1"/>
  <c r="AU38" i="1"/>
  <c r="AV38" i="1"/>
  <c r="AW38" i="1"/>
  <c r="AX38" i="1"/>
  <c r="AY38" i="1"/>
  <c r="AZ38" i="1"/>
  <c r="BA38" i="1"/>
  <c r="BB38" i="1"/>
  <c r="BC38" i="1"/>
  <c r="BD38" i="1"/>
  <c r="BE38" i="1"/>
  <c r="BF38" i="1"/>
  <c r="BG38" i="1"/>
  <c r="BH38" i="1"/>
  <c r="BI38" i="1"/>
  <c r="BJ38" i="1"/>
  <c r="BK38" i="1"/>
  <c r="BL38" i="1"/>
  <c r="BM38" i="1"/>
  <c r="BN38" i="1"/>
  <c r="BO38" i="1"/>
  <c r="BP38" i="1"/>
  <c r="BQ38" i="1"/>
  <c r="BR38" i="1"/>
  <c r="BS38" i="1"/>
  <c r="BT38" i="1"/>
  <c r="BU38" i="1"/>
  <c r="C39" i="1"/>
  <c r="D39" i="1"/>
  <c r="E39" i="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39" i="1"/>
  <c r="B38" i="1"/>
  <c r="B37" i="1"/>
  <c r="B36" i="1"/>
  <c r="C35" i="1"/>
  <c r="D35" i="1"/>
  <c r="E35" i="1"/>
  <c r="F35" i="1"/>
  <c r="G35" i="1"/>
  <c r="H35" i="1"/>
  <c r="I35" i="1"/>
  <c r="J35" i="1"/>
  <c r="K35" i="1"/>
  <c r="L35" i="1"/>
  <c r="M35" i="1"/>
  <c r="N35" i="1"/>
  <c r="O35" i="1"/>
  <c r="P35" i="1"/>
  <c r="Q35" i="1"/>
  <c r="R35" i="1"/>
  <c r="S35" i="1"/>
  <c r="T35" i="1"/>
  <c r="U35" i="1"/>
  <c r="V35" i="1"/>
  <c r="W35" i="1"/>
  <c r="X35" i="1"/>
  <c r="Y35" i="1"/>
  <c r="Z35" i="1"/>
  <c r="AA35" i="1"/>
  <c r="AB35" i="1"/>
  <c r="AC35" i="1"/>
  <c r="AD35" i="1"/>
  <c r="AE35" i="1"/>
  <c r="AF35" i="1"/>
  <c r="AG35" i="1"/>
  <c r="AH35" i="1"/>
  <c r="AI35" i="1"/>
  <c r="AJ35" i="1"/>
  <c r="AK35" i="1"/>
  <c r="AL35" i="1"/>
  <c r="AM35" i="1"/>
  <c r="AN35" i="1"/>
  <c r="AO35" i="1"/>
  <c r="AP35" i="1"/>
  <c r="AQ35" i="1"/>
  <c r="AR35" i="1"/>
  <c r="AS35" i="1"/>
  <c r="AT35" i="1"/>
  <c r="AU35" i="1"/>
  <c r="AV35" i="1"/>
  <c r="AW35" i="1"/>
  <c r="AX35" i="1"/>
  <c r="AY35" i="1"/>
  <c r="AZ35" i="1"/>
  <c r="BA35" i="1"/>
  <c r="BB35" i="1"/>
  <c r="BC35" i="1"/>
  <c r="BD35" i="1"/>
  <c r="BE35" i="1"/>
  <c r="BF35" i="1"/>
  <c r="BG35" i="1"/>
  <c r="BH35" i="1"/>
  <c r="BI35" i="1"/>
  <c r="BJ35" i="1"/>
  <c r="BK35" i="1"/>
  <c r="BL35" i="1"/>
  <c r="BM35" i="1"/>
  <c r="BN35" i="1"/>
  <c r="BO35" i="1"/>
  <c r="BP35" i="1"/>
  <c r="BQ35" i="1"/>
  <c r="BR35" i="1"/>
  <c r="BS35" i="1"/>
  <c r="BT35" i="1"/>
  <c r="BU35" i="1"/>
  <c r="C34" i="1"/>
  <c r="D34" i="1"/>
  <c r="E34" i="1"/>
  <c r="F34" i="1"/>
  <c r="G34" i="1"/>
  <c r="H34" i="1"/>
  <c r="I34" i="1"/>
  <c r="J34" i="1"/>
  <c r="K34" i="1"/>
  <c r="L34" i="1"/>
  <c r="M34" i="1"/>
  <c r="N34" i="1"/>
  <c r="O34" i="1"/>
  <c r="P34" i="1"/>
  <c r="Q34" i="1"/>
  <c r="R34" i="1"/>
  <c r="S34" i="1"/>
  <c r="T34" i="1"/>
  <c r="U34" i="1"/>
  <c r="V34" i="1"/>
  <c r="W34" i="1"/>
  <c r="X34" i="1"/>
  <c r="Y34" i="1"/>
  <c r="Z34" i="1"/>
  <c r="AA34" i="1"/>
  <c r="AB34" i="1"/>
  <c r="AC34" i="1"/>
  <c r="AD34" i="1"/>
  <c r="AE34" i="1"/>
  <c r="AF34" i="1"/>
  <c r="AG34" i="1"/>
  <c r="AH34" i="1"/>
  <c r="AI34" i="1"/>
  <c r="AJ34" i="1"/>
  <c r="AK34" i="1"/>
  <c r="AL34" i="1"/>
  <c r="AM34" i="1"/>
  <c r="AN34" i="1"/>
  <c r="AO34" i="1"/>
  <c r="AP34" i="1"/>
  <c r="AQ34" i="1"/>
  <c r="AR34" i="1"/>
  <c r="AS34" i="1"/>
  <c r="AT34" i="1"/>
  <c r="AU34" i="1"/>
  <c r="AV34" i="1"/>
  <c r="AW34" i="1"/>
  <c r="AX34" i="1"/>
  <c r="AY34" i="1"/>
  <c r="AZ34" i="1"/>
  <c r="BA34" i="1"/>
  <c r="BB34" i="1"/>
  <c r="BC34" i="1"/>
  <c r="BD34" i="1"/>
  <c r="BE34" i="1"/>
  <c r="BF34" i="1"/>
  <c r="BG34" i="1"/>
  <c r="BH34" i="1"/>
  <c r="BI34" i="1"/>
  <c r="BJ34" i="1"/>
  <c r="BK34" i="1"/>
  <c r="BL34" i="1"/>
  <c r="BM34" i="1"/>
  <c r="BN34" i="1"/>
  <c r="BO34" i="1"/>
  <c r="BP34" i="1"/>
  <c r="BQ34" i="1"/>
  <c r="BR34" i="1"/>
  <c r="BS34" i="1"/>
  <c r="BT34" i="1"/>
  <c r="BU34" i="1"/>
  <c r="C33" i="4"/>
  <c r="D33" i="4"/>
  <c r="E33" i="4"/>
  <c r="F33" i="4"/>
  <c r="G33" i="4"/>
  <c r="H33" i="4"/>
  <c r="I33" i="4"/>
  <c r="J33" i="4"/>
  <c r="K33" i="4"/>
  <c r="L33" i="4"/>
  <c r="M33"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O33" i="4"/>
  <c r="AP33" i="4"/>
  <c r="AQ33" i="4"/>
  <c r="AR33" i="4"/>
  <c r="AS33" i="4"/>
  <c r="AT33" i="4"/>
  <c r="AU33" i="4"/>
  <c r="AV33" i="4"/>
  <c r="AW33" i="4"/>
  <c r="AX33" i="4"/>
  <c r="AY33" i="4"/>
  <c r="AZ33" i="4"/>
  <c r="BA33" i="4"/>
  <c r="BB33" i="4"/>
  <c r="BC33" i="4"/>
  <c r="BD33" i="4"/>
  <c r="BE33" i="4"/>
  <c r="BF33" i="4"/>
  <c r="BG33" i="4"/>
  <c r="BH33" i="4"/>
  <c r="BI33" i="4"/>
  <c r="BJ33" i="4"/>
  <c r="BK33" i="4"/>
  <c r="BL33" i="4"/>
  <c r="BM33" i="4"/>
  <c r="BN33" i="4"/>
  <c r="BO33" i="4"/>
  <c r="BP33" i="4"/>
  <c r="BQ33" i="4"/>
  <c r="BR33" i="4"/>
  <c r="BS33" i="4"/>
  <c r="BT33" i="4"/>
  <c r="C34" i="4"/>
  <c r="D34" i="4"/>
  <c r="E34" i="4"/>
  <c r="F34" i="4"/>
  <c r="G34" i="4"/>
  <c r="H34" i="4"/>
  <c r="I34" i="4"/>
  <c r="J34" i="4"/>
  <c r="K34" i="4"/>
  <c r="L34" i="4"/>
  <c r="M34" i="4"/>
  <c r="N34" i="4"/>
  <c r="O34" i="4"/>
  <c r="P34" i="4"/>
  <c r="Q34" i="4"/>
  <c r="R34" i="4"/>
  <c r="S34" i="4"/>
  <c r="T34" i="4"/>
  <c r="U34" i="4"/>
  <c r="V34" i="4"/>
  <c r="W34" i="4"/>
  <c r="X34" i="4"/>
  <c r="Y34" i="4"/>
  <c r="Z34" i="4"/>
  <c r="AA34" i="4"/>
  <c r="AB34" i="4"/>
  <c r="AC34" i="4"/>
  <c r="AD34" i="4"/>
  <c r="AE34" i="4"/>
  <c r="AF34" i="4"/>
  <c r="AG34" i="4"/>
  <c r="AH34" i="4"/>
  <c r="AI34" i="4"/>
  <c r="AJ34" i="4"/>
  <c r="AK34" i="4"/>
  <c r="AL34" i="4"/>
  <c r="AM34" i="4"/>
  <c r="AN34" i="4"/>
  <c r="AO34" i="4"/>
  <c r="AP34" i="4"/>
  <c r="AQ34" i="4"/>
  <c r="AR34" i="4"/>
  <c r="AS34" i="4"/>
  <c r="AT34" i="4"/>
  <c r="AU34" i="4"/>
  <c r="AV34" i="4"/>
  <c r="AW34" i="4"/>
  <c r="AX34" i="4"/>
  <c r="AY34" i="4"/>
  <c r="AZ34" i="4"/>
  <c r="BA34" i="4"/>
  <c r="BB34" i="4"/>
  <c r="BC34" i="4"/>
  <c r="BD34" i="4"/>
  <c r="BE34" i="4"/>
  <c r="BF34" i="4"/>
  <c r="BG34" i="4"/>
  <c r="BH34" i="4"/>
  <c r="BI34" i="4"/>
  <c r="BJ34" i="4"/>
  <c r="BK34" i="4"/>
  <c r="BL34" i="4"/>
  <c r="BM34" i="4"/>
  <c r="BN34" i="4"/>
  <c r="BO34" i="4"/>
  <c r="BP34" i="4"/>
  <c r="BQ34" i="4"/>
  <c r="BR34" i="4"/>
  <c r="BS34" i="4"/>
  <c r="BT34" i="4"/>
  <c r="C35" i="4"/>
  <c r="D35" i="4"/>
  <c r="E35" i="4"/>
  <c r="F35" i="4"/>
  <c r="G35" i="4"/>
  <c r="H35" i="4"/>
  <c r="I35" i="4"/>
  <c r="J35" i="4"/>
  <c r="K35" i="4"/>
  <c r="L35" i="4"/>
  <c r="M35" i="4"/>
  <c r="N35" i="4"/>
  <c r="O35" i="4"/>
  <c r="P35" i="4"/>
  <c r="Q35" i="4"/>
  <c r="R35" i="4"/>
  <c r="S35" i="4"/>
  <c r="T35" i="4"/>
  <c r="U35" i="4"/>
  <c r="V35" i="4"/>
  <c r="W35" i="4"/>
  <c r="X35" i="4"/>
  <c r="Y35" i="4"/>
  <c r="Z35" i="4"/>
  <c r="AA35" i="4"/>
  <c r="AB35" i="4"/>
  <c r="AC35" i="4"/>
  <c r="AD35" i="4"/>
  <c r="AE35" i="4"/>
  <c r="AF35" i="4"/>
  <c r="AG35" i="4"/>
  <c r="AH35" i="4"/>
  <c r="AI35" i="4"/>
  <c r="AJ35" i="4"/>
  <c r="AK35" i="4"/>
  <c r="AL35" i="4"/>
  <c r="AM35" i="4"/>
  <c r="AN35" i="4"/>
  <c r="AO35" i="4"/>
  <c r="AP35" i="4"/>
  <c r="AQ35" i="4"/>
  <c r="AR35" i="4"/>
  <c r="AS35" i="4"/>
  <c r="AT35" i="4"/>
  <c r="AU35" i="4"/>
  <c r="AV35" i="4"/>
  <c r="AW35" i="4"/>
  <c r="AX35" i="4"/>
  <c r="AY35" i="4"/>
  <c r="AZ35" i="4"/>
  <c r="BA35" i="4"/>
  <c r="BB35" i="4"/>
  <c r="BC35" i="4"/>
  <c r="BD35" i="4"/>
  <c r="BE35" i="4"/>
  <c r="BF35" i="4"/>
  <c r="BG35" i="4"/>
  <c r="BH35" i="4"/>
  <c r="BI35" i="4"/>
  <c r="BJ35" i="4"/>
  <c r="BK35" i="4"/>
  <c r="BL35" i="4"/>
  <c r="BM35" i="4"/>
  <c r="BN35" i="4"/>
  <c r="BO35" i="4"/>
  <c r="BP35" i="4"/>
  <c r="BQ35" i="4"/>
  <c r="BR35" i="4"/>
  <c r="BS35" i="4"/>
  <c r="BT35" i="4"/>
  <c r="C36" i="4"/>
  <c r="D36" i="4"/>
  <c r="E36" i="4"/>
  <c r="F36" i="4"/>
  <c r="G36" i="4"/>
  <c r="H36" i="4"/>
  <c r="I36" i="4"/>
  <c r="J36" i="4"/>
  <c r="K36" i="4"/>
  <c r="L36" i="4"/>
  <c r="M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AY36" i="4"/>
  <c r="AZ36" i="4"/>
  <c r="BA36" i="4"/>
  <c r="BB36" i="4"/>
  <c r="BC36" i="4"/>
  <c r="BD36" i="4"/>
  <c r="BE36" i="4"/>
  <c r="BF36" i="4"/>
  <c r="BG36" i="4"/>
  <c r="BH36" i="4"/>
  <c r="BI36" i="4"/>
  <c r="BJ36" i="4"/>
  <c r="BK36" i="4"/>
  <c r="BL36" i="4"/>
  <c r="BM36" i="4"/>
  <c r="BN36" i="4"/>
  <c r="BO36" i="4"/>
  <c r="BP36" i="4"/>
  <c r="BQ36" i="4"/>
  <c r="BR36" i="4"/>
  <c r="BS36" i="4"/>
  <c r="BT36" i="4"/>
  <c r="C37" i="4"/>
  <c r="D37" i="4"/>
  <c r="E37" i="4"/>
  <c r="F37" i="4"/>
  <c r="G37" i="4"/>
  <c r="H37" i="4"/>
  <c r="I37" i="4"/>
  <c r="J37" i="4"/>
  <c r="K37" i="4"/>
  <c r="L37" i="4"/>
  <c r="M37" i="4"/>
  <c r="N37" i="4"/>
  <c r="O37" i="4"/>
  <c r="P37" i="4"/>
  <c r="Q37" i="4"/>
  <c r="R37" i="4"/>
  <c r="S37" i="4"/>
  <c r="T37" i="4"/>
  <c r="U37" i="4"/>
  <c r="V37" i="4"/>
  <c r="W37" i="4"/>
  <c r="X37" i="4"/>
  <c r="Y37" i="4"/>
  <c r="Z37" i="4"/>
  <c r="AA3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BF37" i="4"/>
  <c r="BG37" i="4"/>
  <c r="BH37" i="4"/>
  <c r="BI37" i="4"/>
  <c r="BJ37" i="4"/>
  <c r="BK37" i="4"/>
  <c r="BL37" i="4"/>
  <c r="BM37" i="4"/>
  <c r="BN37" i="4"/>
  <c r="BO37" i="4"/>
  <c r="BP37" i="4"/>
  <c r="BQ37" i="4"/>
  <c r="BR37" i="4"/>
  <c r="BS37" i="4"/>
  <c r="BT37" i="4"/>
  <c r="C38" i="4"/>
  <c r="D38" i="4"/>
  <c r="E38" i="4"/>
  <c r="F38" i="4"/>
  <c r="G38" i="4"/>
  <c r="H38" i="4"/>
  <c r="I38" i="4"/>
  <c r="J38" i="4"/>
  <c r="K38" i="4"/>
  <c r="L38" i="4"/>
  <c r="M38" i="4"/>
  <c r="N38" i="4"/>
  <c r="O38" i="4"/>
  <c r="P38" i="4"/>
  <c r="Q38" i="4"/>
  <c r="R38" i="4"/>
  <c r="S38" i="4"/>
  <c r="T38" i="4"/>
  <c r="U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BF38" i="4"/>
  <c r="BG38" i="4"/>
  <c r="BH38" i="4"/>
  <c r="BI38" i="4"/>
  <c r="BJ38" i="4"/>
  <c r="BK38" i="4"/>
  <c r="BL38" i="4"/>
  <c r="BM38" i="4"/>
  <c r="BN38" i="4"/>
  <c r="BO38" i="4"/>
  <c r="BP38" i="4"/>
  <c r="BQ38" i="4"/>
  <c r="BR38" i="4"/>
  <c r="BS38" i="4"/>
  <c r="BT38" i="4"/>
  <c r="C39" i="4"/>
  <c r="D39" i="4"/>
  <c r="E39" i="4"/>
  <c r="F39" i="4"/>
  <c r="G39" i="4"/>
  <c r="H39" i="4"/>
  <c r="I39" i="4"/>
  <c r="J39" i="4"/>
  <c r="K39" i="4"/>
  <c r="L39" i="4"/>
  <c r="M39" i="4"/>
  <c r="N39" i="4"/>
  <c r="O39" i="4"/>
  <c r="P39" i="4"/>
  <c r="Q39" i="4"/>
  <c r="R39" i="4"/>
  <c r="S39" i="4"/>
  <c r="T39" i="4"/>
  <c r="U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BF39" i="4"/>
  <c r="BG39" i="4"/>
  <c r="BH39" i="4"/>
  <c r="BI39" i="4"/>
  <c r="BJ39" i="4"/>
  <c r="BK39" i="4"/>
  <c r="BL39" i="4"/>
  <c r="BM39" i="4"/>
  <c r="BN39" i="4"/>
  <c r="BO39" i="4"/>
  <c r="BP39" i="4"/>
  <c r="BQ39" i="4"/>
  <c r="BR39" i="4"/>
  <c r="BS39" i="4"/>
  <c r="BT39" i="4"/>
  <c r="C40" i="4"/>
  <c r="D40" i="4"/>
  <c r="E40" i="4"/>
  <c r="F40" i="4"/>
  <c r="G40" i="4"/>
  <c r="H40" i="4"/>
  <c r="I40" i="4"/>
  <c r="J40" i="4"/>
  <c r="K40" i="4"/>
  <c r="L40" i="4"/>
  <c r="M40" i="4"/>
  <c r="N40" i="4"/>
  <c r="O40" i="4"/>
  <c r="P40" i="4"/>
  <c r="Q40" i="4"/>
  <c r="R40" i="4"/>
  <c r="S40" i="4"/>
  <c r="T40" i="4"/>
  <c r="U40" i="4"/>
  <c r="V40" i="4"/>
  <c r="W40" i="4"/>
  <c r="X40" i="4"/>
  <c r="Y40" i="4"/>
  <c r="Z40" i="4"/>
  <c r="AA40" i="4"/>
  <c r="AB40" i="4"/>
  <c r="AC40" i="4"/>
  <c r="AD40" i="4"/>
  <c r="AE40" i="4"/>
  <c r="AF40" i="4"/>
  <c r="AG40" i="4"/>
  <c r="AH40" i="4"/>
  <c r="AI40" i="4"/>
  <c r="AJ40" i="4"/>
  <c r="AK40" i="4"/>
  <c r="AL40" i="4"/>
  <c r="AM40" i="4"/>
  <c r="AN40" i="4"/>
  <c r="AO40" i="4"/>
  <c r="AP40" i="4"/>
  <c r="AQ40" i="4"/>
  <c r="AR40" i="4"/>
  <c r="AS40" i="4"/>
  <c r="AT40" i="4"/>
  <c r="AU40" i="4"/>
  <c r="AV40" i="4"/>
  <c r="AW40" i="4"/>
  <c r="AX40" i="4"/>
  <c r="AY40" i="4"/>
  <c r="AZ40" i="4"/>
  <c r="BA40" i="4"/>
  <c r="BB40" i="4"/>
  <c r="BC40" i="4"/>
  <c r="BD40" i="4"/>
  <c r="BE40" i="4"/>
  <c r="BF40" i="4"/>
  <c r="BG40" i="4"/>
  <c r="BH40" i="4"/>
  <c r="BI40" i="4"/>
  <c r="BJ40" i="4"/>
  <c r="BK40" i="4"/>
  <c r="BL40" i="4"/>
  <c r="BM40" i="4"/>
  <c r="BN40" i="4"/>
  <c r="BO40" i="4"/>
  <c r="BP40" i="4"/>
  <c r="BQ40" i="4"/>
  <c r="BR40" i="4"/>
  <c r="BS40" i="4"/>
  <c r="BT40" i="4"/>
  <c r="C41" i="4"/>
  <c r="D41" i="4"/>
  <c r="E41" i="4"/>
  <c r="F41" i="4"/>
  <c r="G41" i="4"/>
  <c r="H41" i="4"/>
  <c r="I41" i="4"/>
  <c r="J41" i="4"/>
  <c r="K41" i="4"/>
  <c r="L41" i="4"/>
  <c r="M41" i="4"/>
  <c r="N41" i="4"/>
  <c r="O41" i="4"/>
  <c r="P41" i="4"/>
  <c r="Q41" i="4"/>
  <c r="R41" i="4"/>
  <c r="S41" i="4"/>
  <c r="T41" i="4"/>
  <c r="U41" i="4"/>
  <c r="V41" i="4"/>
  <c r="W41" i="4"/>
  <c r="X41" i="4"/>
  <c r="Y41" i="4"/>
  <c r="Z41" i="4"/>
  <c r="AA41" i="4"/>
  <c r="AB41" i="4"/>
  <c r="AC41" i="4"/>
  <c r="AD41" i="4"/>
  <c r="AE41" i="4"/>
  <c r="AF41" i="4"/>
  <c r="AG41" i="4"/>
  <c r="AH41" i="4"/>
  <c r="AI41" i="4"/>
  <c r="AJ41" i="4"/>
  <c r="AK41" i="4"/>
  <c r="AL41" i="4"/>
  <c r="AM41" i="4"/>
  <c r="AN41" i="4"/>
  <c r="AO41" i="4"/>
  <c r="AP41" i="4"/>
  <c r="AQ41" i="4"/>
  <c r="AR41" i="4"/>
  <c r="AS41" i="4"/>
  <c r="AT41" i="4"/>
  <c r="AU41" i="4"/>
  <c r="AV41" i="4"/>
  <c r="AW41" i="4"/>
  <c r="AX41" i="4"/>
  <c r="AY41" i="4"/>
  <c r="AZ41" i="4"/>
  <c r="BA41" i="4"/>
  <c r="BB41" i="4"/>
  <c r="BC41" i="4"/>
  <c r="BD41" i="4"/>
  <c r="BE41" i="4"/>
  <c r="BF41" i="4"/>
  <c r="BG41" i="4"/>
  <c r="BH41" i="4"/>
  <c r="BI41" i="4"/>
  <c r="BJ41" i="4"/>
  <c r="BK41" i="4"/>
  <c r="BL41" i="4"/>
  <c r="BM41" i="4"/>
  <c r="BN41" i="4"/>
  <c r="BO41" i="4"/>
  <c r="BP41" i="4"/>
  <c r="BQ41" i="4"/>
  <c r="BR41" i="4"/>
  <c r="BS41" i="4"/>
  <c r="BT41" i="4"/>
  <c r="C42" i="4"/>
  <c r="D42" i="4"/>
  <c r="E42" i="4"/>
  <c r="F42" i="4"/>
  <c r="G42" i="4"/>
  <c r="H42" i="4"/>
  <c r="I42" i="4"/>
  <c r="J42" i="4"/>
  <c r="K42" i="4"/>
  <c r="L42" i="4"/>
  <c r="M42" i="4"/>
  <c r="N42" i="4"/>
  <c r="O42" i="4"/>
  <c r="P42" i="4"/>
  <c r="Q42" i="4"/>
  <c r="R42" i="4"/>
  <c r="S42" i="4"/>
  <c r="T42" i="4"/>
  <c r="U42" i="4"/>
  <c r="V42" i="4"/>
  <c r="W42" i="4"/>
  <c r="X42" i="4"/>
  <c r="Y42" i="4"/>
  <c r="Z42" i="4"/>
  <c r="AA42" i="4"/>
  <c r="AB42" i="4"/>
  <c r="AC42" i="4"/>
  <c r="AD42" i="4"/>
  <c r="AE42" i="4"/>
  <c r="AF42" i="4"/>
  <c r="AG42" i="4"/>
  <c r="AH42" i="4"/>
  <c r="AI42" i="4"/>
  <c r="AJ42" i="4"/>
  <c r="AK42" i="4"/>
  <c r="AL42" i="4"/>
  <c r="AM42" i="4"/>
  <c r="AN42" i="4"/>
  <c r="AO42" i="4"/>
  <c r="AP42" i="4"/>
  <c r="AQ42" i="4"/>
  <c r="AR42" i="4"/>
  <c r="AS42" i="4"/>
  <c r="AT42" i="4"/>
  <c r="AU42" i="4"/>
  <c r="AV42" i="4"/>
  <c r="AW42" i="4"/>
  <c r="AX42" i="4"/>
  <c r="AY42" i="4"/>
  <c r="AZ42" i="4"/>
  <c r="BA42" i="4"/>
  <c r="BB42" i="4"/>
  <c r="BC42" i="4"/>
  <c r="BD42" i="4"/>
  <c r="BE42" i="4"/>
  <c r="BF42" i="4"/>
  <c r="BG42" i="4"/>
  <c r="BH42" i="4"/>
  <c r="BI42" i="4"/>
  <c r="BJ42" i="4"/>
  <c r="BK42" i="4"/>
  <c r="BL42" i="4"/>
  <c r="BM42" i="4"/>
  <c r="BN42" i="4"/>
  <c r="BO42" i="4"/>
  <c r="BP42" i="4"/>
  <c r="BQ42" i="4"/>
  <c r="BR42" i="4"/>
  <c r="BS42" i="4"/>
  <c r="BT42" i="4"/>
  <c r="C43" i="4"/>
  <c r="D43" i="4"/>
  <c r="E43" i="4"/>
  <c r="F43" i="4"/>
  <c r="G43" i="4"/>
  <c r="H43" i="4"/>
  <c r="I43" i="4"/>
  <c r="J43" i="4"/>
  <c r="K43" i="4"/>
  <c r="L43" i="4"/>
  <c r="M43" i="4"/>
  <c r="N43" i="4"/>
  <c r="O43" i="4"/>
  <c r="P43" i="4"/>
  <c r="Q43" i="4"/>
  <c r="R43" i="4"/>
  <c r="S43" i="4"/>
  <c r="T43" i="4"/>
  <c r="U43" i="4"/>
  <c r="V43" i="4"/>
  <c r="W43" i="4"/>
  <c r="X43" i="4"/>
  <c r="Y43" i="4"/>
  <c r="Z43" i="4"/>
  <c r="AA43" i="4"/>
  <c r="AB43" i="4"/>
  <c r="AC43" i="4"/>
  <c r="AD43" i="4"/>
  <c r="AE43" i="4"/>
  <c r="AF43" i="4"/>
  <c r="AG43" i="4"/>
  <c r="AH43" i="4"/>
  <c r="AI43" i="4"/>
  <c r="AJ43" i="4"/>
  <c r="AK43" i="4"/>
  <c r="AL43" i="4"/>
  <c r="AM43" i="4"/>
  <c r="AN43" i="4"/>
  <c r="AO43" i="4"/>
  <c r="AP43" i="4"/>
  <c r="AQ43" i="4"/>
  <c r="AR43" i="4"/>
  <c r="AS43" i="4"/>
  <c r="AT43" i="4"/>
  <c r="AU43" i="4"/>
  <c r="AV43" i="4"/>
  <c r="AW43" i="4"/>
  <c r="AX43" i="4"/>
  <c r="AY43" i="4"/>
  <c r="AZ43" i="4"/>
  <c r="BA43" i="4"/>
  <c r="BB43" i="4"/>
  <c r="BC43" i="4"/>
  <c r="BD43" i="4"/>
  <c r="BE43" i="4"/>
  <c r="BF43" i="4"/>
  <c r="BG43" i="4"/>
  <c r="BH43" i="4"/>
  <c r="BI43" i="4"/>
  <c r="BJ43" i="4"/>
  <c r="BK43" i="4"/>
  <c r="BL43" i="4"/>
  <c r="BM43" i="4"/>
  <c r="BN43" i="4"/>
  <c r="BO43" i="4"/>
  <c r="BP43" i="4"/>
  <c r="BQ43" i="4"/>
  <c r="BR43" i="4"/>
  <c r="BS43" i="4"/>
  <c r="BT43" i="4"/>
  <c r="C44" i="4"/>
  <c r="D44" i="4"/>
  <c r="E44" i="4"/>
  <c r="F44" i="4"/>
  <c r="G44" i="4"/>
  <c r="H44" i="4"/>
  <c r="I44" i="4"/>
  <c r="J44" i="4"/>
  <c r="K44" i="4"/>
  <c r="L44" i="4"/>
  <c r="M44" i="4"/>
  <c r="N44" i="4"/>
  <c r="O44" i="4"/>
  <c r="P44" i="4"/>
  <c r="Q44" i="4"/>
  <c r="R44" i="4"/>
  <c r="S44" i="4"/>
  <c r="T44" i="4"/>
  <c r="U44" i="4"/>
  <c r="V44" i="4"/>
  <c r="W44" i="4"/>
  <c r="X44" i="4"/>
  <c r="Y44" i="4"/>
  <c r="Z44" i="4"/>
  <c r="AA44" i="4"/>
  <c r="AB44" i="4"/>
  <c r="AC44" i="4"/>
  <c r="AD44" i="4"/>
  <c r="AE44" i="4"/>
  <c r="AF44" i="4"/>
  <c r="AG44" i="4"/>
  <c r="AH44" i="4"/>
  <c r="AI44" i="4"/>
  <c r="AJ44" i="4"/>
  <c r="AK44" i="4"/>
  <c r="AL44" i="4"/>
  <c r="AM44" i="4"/>
  <c r="AN44" i="4"/>
  <c r="AO44" i="4"/>
  <c r="AP44" i="4"/>
  <c r="AQ44" i="4"/>
  <c r="AR44" i="4"/>
  <c r="AS44" i="4"/>
  <c r="AT44" i="4"/>
  <c r="AU44" i="4"/>
  <c r="AV44" i="4"/>
  <c r="AW44" i="4"/>
  <c r="AX44" i="4"/>
  <c r="AY44" i="4"/>
  <c r="AZ44" i="4"/>
  <c r="BA44" i="4"/>
  <c r="BB44" i="4"/>
  <c r="BC44" i="4"/>
  <c r="BD44" i="4"/>
  <c r="BE44" i="4"/>
  <c r="BF44" i="4"/>
  <c r="BG44" i="4"/>
  <c r="BH44" i="4"/>
  <c r="BI44" i="4"/>
  <c r="BJ44" i="4"/>
  <c r="BK44" i="4"/>
  <c r="BL44" i="4"/>
  <c r="BM44" i="4"/>
  <c r="BN44" i="4"/>
  <c r="BO44" i="4"/>
  <c r="BP44" i="4"/>
  <c r="BQ44" i="4"/>
  <c r="BR44" i="4"/>
  <c r="BS44" i="4"/>
  <c r="BT44" i="4"/>
  <c r="C45" i="4"/>
  <c r="D45" i="4"/>
  <c r="E45" i="4"/>
  <c r="F45" i="4"/>
  <c r="G45" i="4"/>
  <c r="H45" i="4"/>
  <c r="I45" i="4"/>
  <c r="J45" i="4"/>
  <c r="K45"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AO45" i="4"/>
  <c r="AP45" i="4"/>
  <c r="AQ45" i="4"/>
  <c r="AR45" i="4"/>
  <c r="AS45" i="4"/>
  <c r="AT45" i="4"/>
  <c r="AU45" i="4"/>
  <c r="AV45" i="4"/>
  <c r="AW45" i="4"/>
  <c r="AX45" i="4"/>
  <c r="AY45" i="4"/>
  <c r="AZ45" i="4"/>
  <c r="BA45" i="4"/>
  <c r="BB45" i="4"/>
  <c r="BC45" i="4"/>
  <c r="BD45" i="4"/>
  <c r="BE45" i="4"/>
  <c r="BF45" i="4"/>
  <c r="BG45" i="4"/>
  <c r="BH45" i="4"/>
  <c r="BI45" i="4"/>
  <c r="BJ45" i="4"/>
  <c r="BK45" i="4"/>
  <c r="BL45" i="4"/>
  <c r="BM45" i="4"/>
  <c r="BN45" i="4"/>
  <c r="BO45" i="4"/>
  <c r="BP45" i="4"/>
  <c r="BQ45" i="4"/>
  <c r="BR45" i="4"/>
  <c r="BS45" i="4"/>
  <c r="BT45" i="4"/>
  <c r="C46" i="4"/>
  <c r="D46" i="4"/>
  <c r="E46" i="4"/>
  <c r="F46" i="4"/>
  <c r="G46" i="4"/>
  <c r="H46" i="4"/>
  <c r="I46" i="4"/>
  <c r="J46" i="4"/>
  <c r="K46"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AO46" i="4"/>
  <c r="AP46" i="4"/>
  <c r="AQ46" i="4"/>
  <c r="AR46" i="4"/>
  <c r="AS46" i="4"/>
  <c r="AT46" i="4"/>
  <c r="AU46" i="4"/>
  <c r="AV46" i="4"/>
  <c r="AW46" i="4"/>
  <c r="AX46" i="4"/>
  <c r="AY46" i="4"/>
  <c r="AZ46" i="4"/>
  <c r="BA46" i="4"/>
  <c r="BB46" i="4"/>
  <c r="BC46" i="4"/>
  <c r="BD46" i="4"/>
  <c r="BE46" i="4"/>
  <c r="BF46" i="4"/>
  <c r="BG46" i="4"/>
  <c r="BH46" i="4"/>
  <c r="BI46" i="4"/>
  <c r="BJ46" i="4"/>
  <c r="BK46" i="4"/>
  <c r="BL46" i="4"/>
  <c r="BM46" i="4"/>
  <c r="BN46" i="4"/>
  <c r="BO46" i="4"/>
  <c r="BP46" i="4"/>
  <c r="BQ46" i="4"/>
  <c r="BR46" i="4"/>
  <c r="BS46" i="4"/>
  <c r="BT46" i="4"/>
  <c r="C47" i="4"/>
  <c r="D47" i="4"/>
  <c r="E47" i="4"/>
  <c r="F47" i="4"/>
  <c r="G47" i="4"/>
  <c r="H47" i="4"/>
  <c r="I47" i="4"/>
  <c r="J47" i="4"/>
  <c r="K47"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AO47" i="4"/>
  <c r="AP47" i="4"/>
  <c r="AQ47" i="4"/>
  <c r="AR47" i="4"/>
  <c r="AS47" i="4"/>
  <c r="AT47" i="4"/>
  <c r="AU47" i="4"/>
  <c r="AV47" i="4"/>
  <c r="AW47" i="4"/>
  <c r="AX47" i="4"/>
  <c r="AY47" i="4"/>
  <c r="AZ47" i="4"/>
  <c r="BA47" i="4"/>
  <c r="BB47" i="4"/>
  <c r="BC47" i="4"/>
  <c r="BD47" i="4"/>
  <c r="BE47" i="4"/>
  <c r="BF47" i="4"/>
  <c r="BG47" i="4"/>
  <c r="BH47" i="4"/>
  <c r="BI47" i="4"/>
  <c r="BJ47" i="4"/>
  <c r="BK47" i="4"/>
  <c r="BL47" i="4"/>
  <c r="BM47" i="4"/>
  <c r="BN47" i="4"/>
  <c r="BO47" i="4"/>
  <c r="BP47" i="4"/>
  <c r="BQ47" i="4"/>
  <c r="BR47" i="4"/>
  <c r="BS47" i="4"/>
  <c r="BT47" i="4"/>
  <c r="C48" i="4"/>
  <c r="D48"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AO48" i="4"/>
  <c r="AP48" i="4"/>
  <c r="AQ48" i="4"/>
  <c r="AR48" i="4"/>
  <c r="AS48" i="4"/>
  <c r="AT48" i="4"/>
  <c r="AU48" i="4"/>
  <c r="AV48" i="4"/>
  <c r="AW48" i="4"/>
  <c r="AX48" i="4"/>
  <c r="AY48" i="4"/>
  <c r="AZ48" i="4"/>
  <c r="BA48" i="4"/>
  <c r="BB48" i="4"/>
  <c r="BC48" i="4"/>
  <c r="BD48" i="4"/>
  <c r="BE48" i="4"/>
  <c r="BF48" i="4"/>
  <c r="BG48" i="4"/>
  <c r="BH48" i="4"/>
  <c r="BI48" i="4"/>
  <c r="BJ48" i="4"/>
  <c r="BK48" i="4"/>
  <c r="BL48" i="4"/>
  <c r="BM48" i="4"/>
  <c r="BN48" i="4"/>
  <c r="BO48" i="4"/>
  <c r="BP48" i="4"/>
  <c r="BQ48" i="4"/>
  <c r="BR48" i="4"/>
  <c r="BS48" i="4"/>
  <c r="BT48" i="4"/>
  <c r="C49" i="4"/>
  <c r="D49"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AO49" i="4"/>
  <c r="AP49" i="4"/>
  <c r="AQ49" i="4"/>
  <c r="AR49" i="4"/>
  <c r="AS49" i="4"/>
  <c r="AT49" i="4"/>
  <c r="AU49" i="4"/>
  <c r="AV49" i="4"/>
  <c r="AW49" i="4"/>
  <c r="AX49" i="4"/>
  <c r="AY49" i="4"/>
  <c r="AZ49" i="4"/>
  <c r="BA49" i="4"/>
  <c r="BB49" i="4"/>
  <c r="BC49" i="4"/>
  <c r="BD49" i="4"/>
  <c r="BE49" i="4"/>
  <c r="BF49" i="4"/>
  <c r="BG49" i="4"/>
  <c r="BH49" i="4"/>
  <c r="BI49" i="4"/>
  <c r="BJ49" i="4"/>
  <c r="BK49" i="4"/>
  <c r="BL49" i="4"/>
  <c r="BM49" i="4"/>
  <c r="BN49" i="4"/>
  <c r="BO49" i="4"/>
  <c r="BP49" i="4"/>
  <c r="BQ49" i="4"/>
  <c r="BR49" i="4"/>
  <c r="BS49" i="4"/>
  <c r="BT49" i="4"/>
  <c r="C50" i="4"/>
  <c r="D50"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AR50" i="4"/>
  <c r="AS50" i="4"/>
  <c r="AT50" i="4"/>
  <c r="AU50" i="4"/>
  <c r="AV50" i="4"/>
  <c r="AW50" i="4"/>
  <c r="AX50" i="4"/>
  <c r="AY50" i="4"/>
  <c r="AZ50" i="4"/>
  <c r="BA50" i="4"/>
  <c r="BB50" i="4"/>
  <c r="BC50" i="4"/>
  <c r="BD50" i="4"/>
  <c r="BE50" i="4"/>
  <c r="BF50" i="4"/>
  <c r="BG50" i="4"/>
  <c r="BH50" i="4"/>
  <c r="BI50" i="4"/>
  <c r="BJ50" i="4"/>
  <c r="BK50" i="4"/>
  <c r="BL50" i="4"/>
  <c r="BM50" i="4"/>
  <c r="BN50" i="4"/>
  <c r="BO50" i="4"/>
  <c r="BP50" i="4"/>
  <c r="BQ50" i="4"/>
  <c r="BR50" i="4"/>
  <c r="BS50" i="4"/>
  <c r="BT50" i="4"/>
  <c r="C51" i="4"/>
  <c r="D51" i="4"/>
  <c r="E51"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AH51" i="4"/>
  <c r="AI51" i="4"/>
  <c r="AJ51" i="4"/>
  <c r="AK51" i="4"/>
  <c r="AL51" i="4"/>
  <c r="AM51" i="4"/>
  <c r="AN51" i="4"/>
  <c r="AO51" i="4"/>
  <c r="AP51" i="4"/>
  <c r="AQ51" i="4"/>
  <c r="AR51" i="4"/>
  <c r="AS51" i="4"/>
  <c r="AT51" i="4"/>
  <c r="AU51" i="4"/>
  <c r="AV51" i="4"/>
  <c r="AW51" i="4"/>
  <c r="AX51" i="4"/>
  <c r="AY51" i="4"/>
  <c r="AZ51" i="4"/>
  <c r="BA51" i="4"/>
  <c r="BB51" i="4"/>
  <c r="BC51" i="4"/>
  <c r="BD51" i="4"/>
  <c r="BE51" i="4"/>
  <c r="BF51" i="4"/>
  <c r="BG51" i="4"/>
  <c r="BH51" i="4"/>
  <c r="BI51" i="4"/>
  <c r="BJ51" i="4"/>
  <c r="BK51" i="4"/>
  <c r="BL51" i="4"/>
  <c r="BM51" i="4"/>
  <c r="BN51" i="4"/>
  <c r="BO51" i="4"/>
  <c r="BP51" i="4"/>
  <c r="BQ51" i="4"/>
  <c r="BR51" i="4"/>
  <c r="BS51" i="4"/>
  <c r="BT51" i="4"/>
  <c r="C52" i="4"/>
  <c r="D52" i="4"/>
  <c r="E52" i="4"/>
  <c r="F52" i="4"/>
  <c r="G52" i="4"/>
  <c r="H52" i="4"/>
  <c r="I52" i="4"/>
  <c r="J52" i="4"/>
  <c r="K52" i="4"/>
  <c r="L52" i="4"/>
  <c r="M52" i="4"/>
  <c r="N52" i="4"/>
  <c r="O52" i="4"/>
  <c r="P52" i="4"/>
  <c r="Q52" i="4"/>
  <c r="R52" i="4"/>
  <c r="S52" i="4"/>
  <c r="T52" i="4"/>
  <c r="U52" i="4"/>
  <c r="V52" i="4"/>
  <c r="W52" i="4"/>
  <c r="X52" i="4"/>
  <c r="Y52" i="4"/>
  <c r="Z52" i="4"/>
  <c r="AA52" i="4"/>
  <c r="AB52" i="4"/>
  <c r="AC52" i="4"/>
  <c r="AD52" i="4"/>
  <c r="AE52" i="4"/>
  <c r="AF52" i="4"/>
  <c r="AG52" i="4"/>
  <c r="AH52" i="4"/>
  <c r="AI52" i="4"/>
  <c r="AJ52" i="4"/>
  <c r="AK52" i="4"/>
  <c r="AL52" i="4"/>
  <c r="AM52" i="4"/>
  <c r="AN52" i="4"/>
  <c r="AO52" i="4"/>
  <c r="AP52" i="4"/>
  <c r="AQ52" i="4"/>
  <c r="AR52" i="4"/>
  <c r="AS52" i="4"/>
  <c r="AT52" i="4"/>
  <c r="AU52" i="4"/>
  <c r="AV52" i="4"/>
  <c r="AW52" i="4"/>
  <c r="AX52" i="4"/>
  <c r="AY52" i="4"/>
  <c r="AZ52" i="4"/>
  <c r="BA52" i="4"/>
  <c r="BB52" i="4"/>
  <c r="BC52" i="4"/>
  <c r="BD52" i="4"/>
  <c r="BE52" i="4"/>
  <c r="BF52" i="4"/>
  <c r="BG52" i="4"/>
  <c r="BH52" i="4"/>
  <c r="BI52" i="4"/>
  <c r="BJ52" i="4"/>
  <c r="BK52" i="4"/>
  <c r="BL52" i="4"/>
  <c r="BM52" i="4"/>
  <c r="BN52" i="4"/>
  <c r="BO52" i="4"/>
  <c r="BP52" i="4"/>
  <c r="BQ52" i="4"/>
  <c r="BR52" i="4"/>
  <c r="BS52" i="4"/>
  <c r="BT52" i="4"/>
  <c r="C53" i="4"/>
  <c r="D53" i="4"/>
  <c r="E53" i="4"/>
  <c r="F53" i="4"/>
  <c r="G53" i="4"/>
  <c r="H53" i="4"/>
  <c r="I53" i="4"/>
  <c r="J53" i="4"/>
  <c r="K53" i="4"/>
  <c r="L53" i="4"/>
  <c r="M53" i="4"/>
  <c r="N53" i="4"/>
  <c r="O53" i="4"/>
  <c r="P53" i="4"/>
  <c r="Q53" i="4"/>
  <c r="R53" i="4"/>
  <c r="S53" i="4"/>
  <c r="T53" i="4"/>
  <c r="U53" i="4"/>
  <c r="V53" i="4"/>
  <c r="W53" i="4"/>
  <c r="X53" i="4"/>
  <c r="Y53" i="4"/>
  <c r="Z53" i="4"/>
  <c r="AA53" i="4"/>
  <c r="AB53" i="4"/>
  <c r="AC53" i="4"/>
  <c r="AD53" i="4"/>
  <c r="AE53" i="4"/>
  <c r="AF53" i="4"/>
  <c r="AG53" i="4"/>
  <c r="AH53" i="4"/>
  <c r="AI53" i="4"/>
  <c r="AJ53" i="4"/>
  <c r="AK53" i="4"/>
  <c r="AL53" i="4"/>
  <c r="AM53" i="4"/>
  <c r="AN53" i="4"/>
  <c r="AO53" i="4"/>
  <c r="AP53" i="4"/>
  <c r="AQ53" i="4"/>
  <c r="AR53" i="4"/>
  <c r="AS53" i="4"/>
  <c r="AT53" i="4"/>
  <c r="AU53" i="4"/>
  <c r="AV53" i="4"/>
  <c r="AW53" i="4"/>
  <c r="AX53" i="4"/>
  <c r="AY53" i="4"/>
  <c r="AZ53" i="4"/>
  <c r="BA53" i="4"/>
  <c r="BB53" i="4"/>
  <c r="BC53" i="4"/>
  <c r="BD53" i="4"/>
  <c r="BE53" i="4"/>
  <c r="BF53" i="4"/>
  <c r="BG53" i="4"/>
  <c r="BH53" i="4"/>
  <c r="BI53" i="4"/>
  <c r="BJ53" i="4"/>
  <c r="BK53" i="4"/>
  <c r="BL53" i="4"/>
  <c r="BM53" i="4"/>
  <c r="BN53" i="4"/>
  <c r="BO53" i="4"/>
  <c r="BP53" i="4"/>
  <c r="BQ53" i="4"/>
  <c r="BR53" i="4"/>
  <c r="BS53" i="4"/>
  <c r="BT53" i="4"/>
  <c r="C54" i="4"/>
  <c r="D54" i="4"/>
  <c r="E54" i="4"/>
  <c r="F54" i="4"/>
  <c r="G54" i="4"/>
  <c r="H54" i="4"/>
  <c r="I54" i="4"/>
  <c r="J54" i="4"/>
  <c r="K54" i="4"/>
  <c r="L54" i="4"/>
  <c r="M54" i="4"/>
  <c r="N54" i="4"/>
  <c r="O54" i="4"/>
  <c r="P54" i="4"/>
  <c r="Q54" i="4"/>
  <c r="R54" i="4"/>
  <c r="S54" i="4"/>
  <c r="T54" i="4"/>
  <c r="U54" i="4"/>
  <c r="V54" i="4"/>
  <c r="W54" i="4"/>
  <c r="X54" i="4"/>
  <c r="Y54" i="4"/>
  <c r="Z54" i="4"/>
  <c r="AA54" i="4"/>
  <c r="AB54" i="4"/>
  <c r="AC54" i="4"/>
  <c r="AD54" i="4"/>
  <c r="AE54" i="4"/>
  <c r="AF54" i="4"/>
  <c r="AG54" i="4"/>
  <c r="AH54" i="4"/>
  <c r="AI54" i="4"/>
  <c r="AJ54" i="4"/>
  <c r="AK54" i="4"/>
  <c r="AL54" i="4"/>
  <c r="AM54" i="4"/>
  <c r="AN54" i="4"/>
  <c r="AO54" i="4"/>
  <c r="AP54" i="4"/>
  <c r="AQ54" i="4"/>
  <c r="AR54" i="4"/>
  <c r="AS54" i="4"/>
  <c r="AT54" i="4"/>
  <c r="AU54" i="4"/>
  <c r="AV54" i="4"/>
  <c r="AW54" i="4"/>
  <c r="AX54" i="4"/>
  <c r="AY54" i="4"/>
  <c r="AZ54" i="4"/>
  <c r="BA54" i="4"/>
  <c r="BB54" i="4"/>
  <c r="BC54" i="4"/>
  <c r="BD54" i="4"/>
  <c r="BE54" i="4"/>
  <c r="BF54" i="4"/>
  <c r="BG54" i="4"/>
  <c r="BH54" i="4"/>
  <c r="BI54" i="4"/>
  <c r="BJ54" i="4"/>
  <c r="BK54" i="4"/>
  <c r="BL54" i="4"/>
  <c r="BM54" i="4"/>
  <c r="BN54" i="4"/>
  <c r="BO54" i="4"/>
  <c r="BP54" i="4"/>
  <c r="BQ54" i="4"/>
  <c r="BR54" i="4"/>
  <c r="BS54" i="4"/>
  <c r="BT54" i="4"/>
  <c r="C55" i="4"/>
  <c r="D55" i="4"/>
  <c r="E55" i="4"/>
  <c r="F55" i="4"/>
  <c r="G55" i="4"/>
  <c r="H55" i="4"/>
  <c r="I55" i="4"/>
  <c r="J55" i="4"/>
  <c r="K55" i="4"/>
  <c r="L55" i="4"/>
  <c r="M55" i="4"/>
  <c r="N55" i="4"/>
  <c r="O55" i="4"/>
  <c r="P55" i="4"/>
  <c r="Q55" i="4"/>
  <c r="R55" i="4"/>
  <c r="S55" i="4"/>
  <c r="T55" i="4"/>
  <c r="U55" i="4"/>
  <c r="V55" i="4"/>
  <c r="W55" i="4"/>
  <c r="X55" i="4"/>
  <c r="Y55" i="4"/>
  <c r="Z55" i="4"/>
  <c r="AA55" i="4"/>
  <c r="AB55" i="4"/>
  <c r="AC55" i="4"/>
  <c r="AD55" i="4"/>
  <c r="AE55" i="4"/>
  <c r="AF55" i="4"/>
  <c r="AG55" i="4"/>
  <c r="AH55" i="4"/>
  <c r="AI55" i="4"/>
  <c r="AJ55" i="4"/>
  <c r="AK55" i="4"/>
  <c r="AL55" i="4"/>
  <c r="AM55" i="4"/>
  <c r="AN55" i="4"/>
  <c r="AO55" i="4"/>
  <c r="AP55" i="4"/>
  <c r="AQ55" i="4"/>
  <c r="AR55" i="4"/>
  <c r="AS55" i="4"/>
  <c r="AT55" i="4"/>
  <c r="AU55" i="4"/>
  <c r="AV55" i="4"/>
  <c r="AW55" i="4"/>
  <c r="AX55" i="4"/>
  <c r="AY55" i="4"/>
  <c r="AZ55" i="4"/>
  <c r="BA55" i="4"/>
  <c r="BB55" i="4"/>
  <c r="BC55" i="4"/>
  <c r="BD55" i="4"/>
  <c r="BE55" i="4"/>
  <c r="BF55" i="4"/>
  <c r="BG55" i="4"/>
  <c r="BH55" i="4"/>
  <c r="BI55" i="4"/>
  <c r="BJ55" i="4"/>
  <c r="BK55" i="4"/>
  <c r="BL55" i="4"/>
  <c r="BM55" i="4"/>
  <c r="BN55" i="4"/>
  <c r="BO55" i="4"/>
  <c r="BP55" i="4"/>
  <c r="BQ55" i="4"/>
  <c r="BR55" i="4"/>
  <c r="BS55" i="4"/>
  <c r="BT55" i="4"/>
  <c r="C56" i="4"/>
  <c r="D56" i="4"/>
  <c r="E56" i="4"/>
  <c r="F56" i="4"/>
  <c r="G56" i="4"/>
  <c r="H56" i="4"/>
  <c r="I56" i="4"/>
  <c r="J56" i="4"/>
  <c r="K56" i="4"/>
  <c r="L56" i="4"/>
  <c r="M56" i="4"/>
  <c r="N56" i="4"/>
  <c r="O56" i="4"/>
  <c r="P56" i="4"/>
  <c r="Q56" i="4"/>
  <c r="R56" i="4"/>
  <c r="S56" i="4"/>
  <c r="T56" i="4"/>
  <c r="U56" i="4"/>
  <c r="V56" i="4"/>
  <c r="W56" i="4"/>
  <c r="X56" i="4"/>
  <c r="Y56" i="4"/>
  <c r="Z56" i="4"/>
  <c r="AA56" i="4"/>
  <c r="AB56" i="4"/>
  <c r="AC56" i="4"/>
  <c r="AD56" i="4"/>
  <c r="AE56" i="4"/>
  <c r="AF56" i="4"/>
  <c r="AG56" i="4"/>
  <c r="AH56" i="4"/>
  <c r="AI56" i="4"/>
  <c r="AJ56" i="4"/>
  <c r="AK56" i="4"/>
  <c r="AL56" i="4"/>
  <c r="AM56" i="4"/>
  <c r="AN56" i="4"/>
  <c r="AO56" i="4"/>
  <c r="AP56" i="4"/>
  <c r="AQ56" i="4"/>
  <c r="AR56" i="4"/>
  <c r="AS56" i="4"/>
  <c r="AT56" i="4"/>
  <c r="AU56" i="4"/>
  <c r="AV56" i="4"/>
  <c r="AW56" i="4"/>
  <c r="AX56" i="4"/>
  <c r="AY56" i="4"/>
  <c r="AZ56" i="4"/>
  <c r="BA56" i="4"/>
  <c r="BB56" i="4"/>
  <c r="BC56" i="4"/>
  <c r="BD56" i="4"/>
  <c r="BE56" i="4"/>
  <c r="BF56" i="4"/>
  <c r="BG56" i="4"/>
  <c r="BH56" i="4"/>
  <c r="BI56" i="4"/>
  <c r="BJ56" i="4"/>
  <c r="BK56" i="4"/>
  <c r="BL56" i="4"/>
  <c r="BM56" i="4"/>
  <c r="BN56" i="4"/>
  <c r="BO56" i="4"/>
  <c r="BP56" i="4"/>
  <c r="BQ56" i="4"/>
  <c r="BR56" i="4"/>
  <c r="BS56" i="4"/>
  <c r="BT56" i="4"/>
  <c r="C57" i="4"/>
  <c r="D57" i="4"/>
  <c r="E57" i="4"/>
  <c r="F57" i="4"/>
  <c r="G57" i="4"/>
  <c r="H57" i="4"/>
  <c r="I57" i="4"/>
  <c r="J57" i="4"/>
  <c r="K57" i="4"/>
  <c r="L57" i="4"/>
  <c r="M57" i="4"/>
  <c r="N57" i="4"/>
  <c r="O57" i="4"/>
  <c r="P57" i="4"/>
  <c r="Q57" i="4"/>
  <c r="R57" i="4"/>
  <c r="S57" i="4"/>
  <c r="T57" i="4"/>
  <c r="U57" i="4"/>
  <c r="V57" i="4"/>
  <c r="W57" i="4"/>
  <c r="X57" i="4"/>
  <c r="Y57" i="4"/>
  <c r="Z57" i="4"/>
  <c r="AA57" i="4"/>
  <c r="AB57" i="4"/>
  <c r="AC57" i="4"/>
  <c r="AD57" i="4"/>
  <c r="AE57" i="4"/>
  <c r="AF57" i="4"/>
  <c r="AG57" i="4"/>
  <c r="AH57" i="4"/>
  <c r="AI57" i="4"/>
  <c r="AJ57" i="4"/>
  <c r="AK57" i="4"/>
  <c r="AL57" i="4"/>
  <c r="AM57" i="4"/>
  <c r="AN57" i="4"/>
  <c r="AO57" i="4"/>
  <c r="AP57" i="4"/>
  <c r="AQ57" i="4"/>
  <c r="AR57" i="4"/>
  <c r="AS57" i="4"/>
  <c r="AT57" i="4"/>
  <c r="AU57" i="4"/>
  <c r="AV57" i="4"/>
  <c r="AW57" i="4"/>
  <c r="AX57" i="4"/>
  <c r="AY57" i="4"/>
  <c r="AZ57" i="4"/>
  <c r="BA57" i="4"/>
  <c r="BB57" i="4"/>
  <c r="BC57" i="4"/>
  <c r="BD57" i="4"/>
  <c r="BE57" i="4"/>
  <c r="BF57" i="4"/>
  <c r="BG57" i="4"/>
  <c r="BH57" i="4"/>
  <c r="BI57" i="4"/>
  <c r="BJ57" i="4"/>
  <c r="BK57" i="4"/>
  <c r="BL57" i="4"/>
  <c r="BM57" i="4"/>
  <c r="BN57" i="4"/>
  <c r="BO57" i="4"/>
  <c r="BP57" i="4"/>
  <c r="BQ57" i="4"/>
  <c r="BR57" i="4"/>
  <c r="BS57" i="4"/>
  <c r="BT57" i="4"/>
  <c r="C58" i="4"/>
  <c r="D58" i="4"/>
  <c r="E58" i="4"/>
  <c r="F58" i="4"/>
  <c r="G58" i="4"/>
  <c r="H58" i="4"/>
  <c r="I58" i="4"/>
  <c r="J58" i="4"/>
  <c r="K58" i="4"/>
  <c r="L58" i="4"/>
  <c r="M58" i="4"/>
  <c r="N58" i="4"/>
  <c r="O58" i="4"/>
  <c r="P58" i="4"/>
  <c r="Q58" i="4"/>
  <c r="R58" i="4"/>
  <c r="S58" i="4"/>
  <c r="T58" i="4"/>
  <c r="U58" i="4"/>
  <c r="V58" i="4"/>
  <c r="W58" i="4"/>
  <c r="X58" i="4"/>
  <c r="Y58" i="4"/>
  <c r="Z58" i="4"/>
  <c r="AA58" i="4"/>
  <c r="AB58" i="4"/>
  <c r="AC58" i="4"/>
  <c r="AD58" i="4"/>
  <c r="AE58" i="4"/>
  <c r="AF58" i="4"/>
  <c r="AG58" i="4"/>
  <c r="AH58" i="4"/>
  <c r="AI58" i="4"/>
  <c r="AJ58" i="4"/>
  <c r="AK58" i="4"/>
  <c r="AL58" i="4"/>
  <c r="AM58" i="4"/>
  <c r="AN58" i="4"/>
  <c r="AO58" i="4"/>
  <c r="AP58" i="4"/>
  <c r="AQ58" i="4"/>
  <c r="AR58" i="4"/>
  <c r="AS58" i="4"/>
  <c r="AT58" i="4"/>
  <c r="AU58" i="4"/>
  <c r="AV58" i="4"/>
  <c r="AW58" i="4"/>
  <c r="AX58" i="4"/>
  <c r="AY58" i="4"/>
  <c r="AZ58" i="4"/>
  <c r="BA58" i="4"/>
  <c r="BB58" i="4"/>
  <c r="BC58" i="4"/>
  <c r="BD58" i="4"/>
  <c r="BE58" i="4"/>
  <c r="BF58" i="4"/>
  <c r="BG58" i="4"/>
  <c r="BH58" i="4"/>
  <c r="BI58" i="4"/>
  <c r="BJ58" i="4"/>
  <c r="BK58" i="4"/>
  <c r="BL58" i="4"/>
  <c r="BM58" i="4"/>
  <c r="BN58" i="4"/>
  <c r="BO58" i="4"/>
  <c r="BP58" i="4"/>
  <c r="BQ58" i="4"/>
  <c r="BR58" i="4"/>
  <c r="BS58" i="4"/>
  <c r="BT58" i="4"/>
  <c r="C59" i="4"/>
  <c r="D59" i="4"/>
  <c r="E59" i="4"/>
  <c r="F59" i="4"/>
  <c r="G59" i="4"/>
  <c r="H59" i="4"/>
  <c r="I59" i="4"/>
  <c r="J59" i="4"/>
  <c r="K59" i="4"/>
  <c r="L59" i="4"/>
  <c r="M59" i="4"/>
  <c r="N59" i="4"/>
  <c r="O59" i="4"/>
  <c r="P59" i="4"/>
  <c r="Q59" i="4"/>
  <c r="R59" i="4"/>
  <c r="S59" i="4"/>
  <c r="T59" i="4"/>
  <c r="U59" i="4"/>
  <c r="V59" i="4"/>
  <c r="W59" i="4"/>
  <c r="X59" i="4"/>
  <c r="Y59" i="4"/>
  <c r="Z59" i="4"/>
  <c r="AA59" i="4"/>
  <c r="AB59" i="4"/>
  <c r="AC59" i="4"/>
  <c r="AD59" i="4"/>
  <c r="AE59" i="4"/>
  <c r="AF59" i="4"/>
  <c r="AG59" i="4"/>
  <c r="AH59" i="4"/>
  <c r="AI59" i="4"/>
  <c r="AJ59" i="4"/>
  <c r="AK59" i="4"/>
  <c r="AL59" i="4"/>
  <c r="AM59" i="4"/>
  <c r="AN59" i="4"/>
  <c r="AO59" i="4"/>
  <c r="AP59" i="4"/>
  <c r="AQ59" i="4"/>
  <c r="AR59" i="4"/>
  <c r="AS59" i="4"/>
  <c r="AT59" i="4"/>
  <c r="AU59" i="4"/>
  <c r="AV59" i="4"/>
  <c r="AW59" i="4"/>
  <c r="AX59" i="4"/>
  <c r="AY59" i="4"/>
  <c r="AZ59" i="4"/>
  <c r="BA59" i="4"/>
  <c r="BB59" i="4"/>
  <c r="BC59" i="4"/>
  <c r="BD59" i="4"/>
  <c r="BE59" i="4"/>
  <c r="BF59" i="4"/>
  <c r="BG59" i="4"/>
  <c r="BH59" i="4"/>
  <c r="BI59" i="4"/>
  <c r="BJ59" i="4"/>
  <c r="BK59" i="4"/>
  <c r="BL59" i="4"/>
  <c r="BM59" i="4"/>
  <c r="BN59" i="4"/>
  <c r="BO59" i="4"/>
  <c r="BP59" i="4"/>
  <c r="BQ59" i="4"/>
  <c r="BR59" i="4"/>
  <c r="BS59" i="4"/>
  <c r="BT59" i="4"/>
  <c r="C60" i="4"/>
  <c r="D60" i="4"/>
  <c r="E60" i="4"/>
  <c r="F60" i="4"/>
  <c r="G60" i="4"/>
  <c r="H60" i="4"/>
  <c r="I60" i="4"/>
  <c r="J60" i="4"/>
  <c r="K60" i="4"/>
  <c r="L60" i="4"/>
  <c r="M60" i="4"/>
  <c r="N60" i="4"/>
  <c r="O60" i="4"/>
  <c r="P60" i="4"/>
  <c r="Q60" i="4"/>
  <c r="R60" i="4"/>
  <c r="S60" i="4"/>
  <c r="T60" i="4"/>
  <c r="U60" i="4"/>
  <c r="V60" i="4"/>
  <c r="W60" i="4"/>
  <c r="X60" i="4"/>
  <c r="Y60" i="4"/>
  <c r="Z60" i="4"/>
  <c r="AA60" i="4"/>
  <c r="AB60" i="4"/>
  <c r="AC60" i="4"/>
  <c r="AD60" i="4"/>
  <c r="AE60" i="4"/>
  <c r="AF60" i="4"/>
  <c r="AG60" i="4"/>
  <c r="AH60" i="4"/>
  <c r="AI60" i="4"/>
  <c r="AJ60" i="4"/>
  <c r="AK60" i="4"/>
  <c r="AL60" i="4"/>
  <c r="AM60" i="4"/>
  <c r="AN60" i="4"/>
  <c r="AO60" i="4"/>
  <c r="AP60" i="4"/>
  <c r="AQ60" i="4"/>
  <c r="AR60" i="4"/>
  <c r="AS60" i="4"/>
  <c r="AT60" i="4"/>
  <c r="AU60" i="4"/>
  <c r="AV60" i="4"/>
  <c r="AW60" i="4"/>
  <c r="AX60" i="4"/>
  <c r="AY60" i="4"/>
  <c r="AZ60" i="4"/>
  <c r="BA60" i="4"/>
  <c r="BB60" i="4"/>
  <c r="BC60" i="4"/>
  <c r="BD60" i="4"/>
  <c r="BE60" i="4"/>
  <c r="BF60" i="4"/>
  <c r="BG60" i="4"/>
  <c r="BH60" i="4"/>
  <c r="BI60" i="4"/>
  <c r="BJ60" i="4"/>
  <c r="BK60" i="4"/>
  <c r="BL60" i="4"/>
  <c r="BM60" i="4"/>
  <c r="BN60" i="4"/>
  <c r="BO60" i="4"/>
  <c r="BP60" i="4"/>
  <c r="BQ60" i="4"/>
  <c r="BR60" i="4"/>
  <c r="BS60" i="4"/>
  <c r="BT60" i="4"/>
  <c r="B34" i="4"/>
  <c r="B35" i="4"/>
  <c r="B36" i="4"/>
  <c r="B37" i="4"/>
  <c r="B38" i="4"/>
  <c r="B39" i="4"/>
  <c r="B40" i="4"/>
  <c r="B41" i="4"/>
  <c r="B42" i="4"/>
  <c r="B43" i="4"/>
  <c r="B44" i="4"/>
  <c r="B45" i="4"/>
  <c r="B46" i="4"/>
  <c r="B47" i="4"/>
  <c r="B48" i="4"/>
  <c r="B49" i="4"/>
  <c r="B50" i="4"/>
  <c r="B51" i="4"/>
  <c r="B52" i="4"/>
  <c r="B53" i="4"/>
  <c r="B54" i="4"/>
  <c r="B55" i="4"/>
  <c r="B56" i="4"/>
  <c r="B57" i="4"/>
  <c r="B58" i="4"/>
  <c r="B59" i="4"/>
  <c r="B60" i="4"/>
  <c r="B33" i="4"/>
  <c r="BP40" i="2" l="1"/>
  <c r="AZ40" i="2"/>
  <c r="AJ40" i="2"/>
  <c r="T40" i="2"/>
  <c r="D40" i="2"/>
  <c r="BG39" i="2"/>
  <c r="AQ39" i="2"/>
  <c r="AA39" i="2"/>
  <c r="K39" i="2"/>
  <c r="BN40" i="2"/>
  <c r="AX40" i="2"/>
  <c r="AH40" i="2"/>
  <c r="R40" i="2"/>
  <c r="BN41" i="1"/>
  <c r="BN45" i="1" s="1"/>
  <c r="BN47" i="1" s="1"/>
  <c r="AX41" i="1"/>
  <c r="AX45" i="1" s="1"/>
  <c r="AX47" i="1" s="1"/>
  <c r="AH41" i="1"/>
  <c r="AH45" i="1" s="1"/>
  <c r="AH47" i="1" s="1"/>
  <c r="R41" i="1"/>
  <c r="R45" i="1" s="1"/>
  <c r="R47" i="1" s="1"/>
  <c r="B45" i="1"/>
  <c r="B44" i="1"/>
  <c r="B47" i="1"/>
  <c r="BV47" i="1" s="1"/>
  <c r="B46" i="1" l="1"/>
  <c r="BV46" i="1" s="1"/>
</calcChain>
</file>

<file path=xl/sharedStrings.xml><?xml version="1.0" encoding="utf-8"?>
<sst xmlns="http://schemas.openxmlformats.org/spreadsheetml/2006/main" count="921" uniqueCount="196">
  <si>
    <t>Species</t>
  </si>
  <si>
    <t>accD</t>
  </si>
  <si>
    <t>atpA</t>
  </si>
  <si>
    <t>atpB</t>
  </si>
  <si>
    <t>atpE</t>
  </si>
  <si>
    <t>atpF</t>
  </si>
  <si>
    <t>atpI</t>
  </si>
  <si>
    <t>ccsA</t>
  </si>
  <si>
    <t>cemA</t>
  </si>
  <si>
    <t>clpP</t>
  </si>
  <si>
    <t>infA</t>
  </si>
  <si>
    <t>matK</t>
  </si>
  <si>
    <t>ndhA</t>
  </si>
  <si>
    <t>ndhB</t>
  </si>
  <si>
    <t>ndhC</t>
  </si>
  <si>
    <t>ndhD</t>
  </si>
  <si>
    <t>ndhE</t>
  </si>
  <si>
    <t>ndhF</t>
  </si>
  <si>
    <t>ndhG</t>
  </si>
  <si>
    <t>ndhH</t>
  </si>
  <si>
    <t>ndhI</t>
  </si>
  <si>
    <t>ndhJ</t>
  </si>
  <si>
    <t>ndhK</t>
  </si>
  <si>
    <t>petA</t>
  </si>
  <si>
    <t>petB</t>
  </si>
  <si>
    <t>petD</t>
  </si>
  <si>
    <t>petL</t>
  </si>
  <si>
    <t>psaA</t>
  </si>
  <si>
    <t>psaB</t>
  </si>
  <si>
    <t>psaC</t>
  </si>
  <si>
    <t>psaI</t>
  </si>
  <si>
    <t>psaJ</t>
  </si>
  <si>
    <t>psbA</t>
  </si>
  <si>
    <t>psbB</t>
  </si>
  <si>
    <t>psbC</t>
  </si>
  <si>
    <t>psbD</t>
  </si>
  <si>
    <t>psbE</t>
  </si>
  <si>
    <t>psbH</t>
  </si>
  <si>
    <t>psbJ</t>
  </si>
  <si>
    <t>psbK</t>
  </si>
  <si>
    <t>psbM</t>
  </si>
  <si>
    <t>psbN</t>
  </si>
  <si>
    <t>psbT</t>
  </si>
  <si>
    <t>psbZ</t>
  </si>
  <si>
    <t>rbcL</t>
  </si>
  <si>
    <t>rpl14</t>
  </si>
  <si>
    <t>rpl16</t>
  </si>
  <si>
    <t>rpl2</t>
  </si>
  <si>
    <t>rpl20</t>
  </si>
  <si>
    <t>rpl22</t>
  </si>
  <si>
    <t>rpl23</t>
  </si>
  <si>
    <t>rpl32</t>
  </si>
  <si>
    <t>rpl33</t>
  </si>
  <si>
    <t>rpl36</t>
  </si>
  <si>
    <t>rpoA</t>
  </si>
  <si>
    <t>rpoB</t>
  </si>
  <si>
    <t>rpoC1</t>
  </si>
  <si>
    <t>rpoC2</t>
  </si>
  <si>
    <t>rps11</t>
  </si>
  <si>
    <t>rps12</t>
  </si>
  <si>
    <t>rps14</t>
  </si>
  <si>
    <t>rps15</t>
  </si>
  <si>
    <t>rps16</t>
  </si>
  <si>
    <t>rps18</t>
  </si>
  <si>
    <t>rps19</t>
  </si>
  <si>
    <t>rps2</t>
  </si>
  <si>
    <t>rps3</t>
  </si>
  <si>
    <t>rps4</t>
  </si>
  <si>
    <t>rps7</t>
  </si>
  <si>
    <t>rps8</t>
  </si>
  <si>
    <t>ycf2</t>
  </si>
  <si>
    <t>ycf3</t>
  </si>
  <si>
    <t>ycf4</t>
  </si>
  <si>
    <t>MeanLength</t>
  </si>
  <si>
    <t>AEPI_plastid</t>
  </si>
  <si>
    <t>AXPJ_plastid</t>
  </si>
  <si>
    <t>BHYC_plastid</t>
  </si>
  <si>
    <t>C95_plastid</t>
  </si>
  <si>
    <t>C96_plastid</t>
  </si>
  <si>
    <t>D01_plastid</t>
  </si>
  <si>
    <t>D02_plastid</t>
  </si>
  <si>
    <t>D03_plastid</t>
  </si>
  <si>
    <t>D04_plastid</t>
  </si>
  <si>
    <t>D05_plastid</t>
  </si>
  <si>
    <t>D06_plastid</t>
  </si>
  <si>
    <t>D07_plastid</t>
  </si>
  <si>
    <t>D08_plastid</t>
  </si>
  <si>
    <t>D09_plastid</t>
  </si>
  <si>
    <t>D10_plastid</t>
  </si>
  <si>
    <t>D11_plastid</t>
  </si>
  <si>
    <t>D12_plastid</t>
  </si>
  <si>
    <t>D13_plastid</t>
  </si>
  <si>
    <t>D14_plastid</t>
  </si>
  <si>
    <t>ERR2040368_plastid</t>
  </si>
  <si>
    <t>ERR2040369_plastid</t>
  </si>
  <si>
    <t>ERR2040380_plastid</t>
  </si>
  <si>
    <t>ERR2040381_plastid</t>
  </si>
  <si>
    <t>ERR3487350_plastid</t>
  </si>
  <si>
    <t>HNCF_plastid</t>
  </si>
  <si>
    <t>KCPT_plastid</t>
  </si>
  <si>
    <t>TXMP_plastid</t>
  </si>
  <si>
    <t>VXOD_plastid</t>
  </si>
  <si>
    <t>Name</t>
  </si>
  <si>
    <t>NumReads</t>
  </si>
  <si>
    <t>ReadsMapped</t>
  </si>
  <si>
    <t>PctOnTarget</t>
  </si>
  <si>
    <t>GenesMapped</t>
  </si>
  <si>
    <t>GenesWithContigs</t>
  </si>
  <si>
    <t>GenesWithSeqs</t>
  </si>
  <si>
    <t>GenesAt25pct</t>
  </si>
  <si>
    <t>GenesAt50pct</t>
  </si>
  <si>
    <t>GenesAt75pct</t>
  </si>
  <si>
    <t>GenesAt150pct</t>
  </si>
  <si>
    <t>ParalogWarningsLong</t>
  </si>
  <si>
    <t>ParalogWarningsDepth</t>
  </si>
  <si>
    <t>GenesWithoutStitchedContigs</t>
  </si>
  <si>
    <t>GenesWithStitchedContigs</t>
  </si>
  <si>
    <t>GenesWithStitchedContigsSkipped</t>
  </si>
  <si>
    <t>GenesWithChimeraWarning</t>
  </si>
  <si>
    <t>TotalBasesRecovered</t>
  </si>
  <si>
    <t>GeneID</t>
  </si>
  <si>
    <t>D04 is 0</t>
  </si>
  <si>
    <t>D08 is 0</t>
  </si>
  <si>
    <t>D05 is 0</t>
  </si>
  <si>
    <t>D06 is 0</t>
  </si>
  <si>
    <t>D09 is 0</t>
  </si>
  <si>
    <t>C95 is 0</t>
  </si>
  <si>
    <t>I've just plotted this here, because in hybpiper output there was one gene that was big outlier (this is normal because plastid genes are highly expressed and we are dealing with rnaseq). So I removed that gene and log transformed counts to just have a look.</t>
  </si>
  <si>
    <t>Total Samples with Missing Gene</t>
  </si>
  <si>
    <t>Total Samples with Missing Gene 25%</t>
  </si>
  <si>
    <t>Total Samples with Missing Gene 50%</t>
  </si>
  <si>
    <t>Remove Gene 25%</t>
  </si>
  <si>
    <t>Remove Gene 50%</t>
  </si>
  <si>
    <t>Total Samples 25%</t>
  </si>
  <si>
    <t>Total Samples 50%</t>
  </si>
  <si>
    <t>Removed out of total 25%</t>
  </si>
  <si>
    <t>Removed out of total 50%</t>
  </si>
  <si>
    <t>Remove Gene Presence 25%</t>
  </si>
  <si>
    <t>Remove Gene Presence 50%</t>
  </si>
  <si>
    <t>Total Samples with Paralogs</t>
  </si>
  <si>
    <t>D04 is &gt;1</t>
  </si>
  <si>
    <t>D08 is &gt;1</t>
  </si>
  <si>
    <t>C95 is &gt;1</t>
  </si>
  <si>
    <t>D05 is &gt;1</t>
  </si>
  <si>
    <t>D06 is &gt;1</t>
  </si>
  <si>
    <t>D09 is &gt;1</t>
  </si>
  <si>
    <t>Genes w/ more than 2 samples w/ paralogs 25%</t>
  </si>
  <si>
    <t>Genes w/ more than 2 samples w/ paralogs 50%</t>
  </si>
  <si>
    <t>Remove Gene w/ paralogs 25%</t>
  </si>
  <si>
    <t>Remove Gene w/ paralogs 50%</t>
  </si>
  <si>
    <t>Remove Gene Final</t>
  </si>
  <si>
    <t>y</t>
  </si>
  <si>
    <t>n</t>
  </si>
  <si>
    <t>GeneID_2remove</t>
  </si>
  <si>
    <t>dir</t>
  </si>
  <si>
    <t>extension</t>
  </si>
  <si>
    <t>.fasta</t>
  </si>
  <si>
    <t>./data/Angiosperm353/aln_plastid/</t>
  </si>
  <si>
    <t>file_name1</t>
  </si>
  <si>
    <t>file_name2</t>
  </si>
  <si>
    <t>./data/Angiosperm353/aln_plastid25/ccsA.fasta</t>
  </si>
  <si>
    <t>./data/Angiosperm353/aln_plastid25/petL.fasta</t>
  </si>
  <si>
    <t>./data/Angiosperm353/aln_plastid25/rps14.fasta</t>
  </si>
  <si>
    <t>./data/Angiosperm353/aln_plastid25/clpP.fasta</t>
  </si>
  <si>
    <t>./data/Angiosperm353/aln_plastid25/infA.fasta</t>
  </si>
  <si>
    <t>./data/Angiosperm353/aln_plastid25/ndhC.fasta</t>
  </si>
  <si>
    <t>./data/Angiosperm353/aln_plastid25/ndhG.fasta</t>
  </si>
  <si>
    <t>./data/Angiosperm353/aln_plastid25/psaI.fasta</t>
  </si>
  <si>
    <t>./data/Angiosperm353/aln_plastid25/psbE.fasta</t>
  </si>
  <si>
    <t>./data/Angiosperm353/aln_plastid25/psbH.fasta</t>
  </si>
  <si>
    <t>./data/Angiosperm353/aln_plastid25/psbJ.fasta</t>
  </si>
  <si>
    <t>./data/Angiosperm353/aln_plastid25/psbK.fasta</t>
  </si>
  <si>
    <t>./data/Angiosperm353/aln_plastid25/psbM.fasta</t>
  </si>
  <si>
    <t>./data/Angiosperm353/aln_plastid25/psbN.fasta</t>
  </si>
  <si>
    <t>./data/Angiosperm353/aln_plastid25/psbT.fasta</t>
  </si>
  <si>
    <t>./data/Angiosperm353/aln_plastid25/psbZ.fasta</t>
  </si>
  <si>
    <t>./data/Angiosperm353/aln_plastid25/rpl20.fasta</t>
  </si>
  <si>
    <t>./data/Angiosperm353/aln_plastid25/rpl23.fasta</t>
  </si>
  <si>
    <t>./data/Angiosperm353/aln_plastid25/rpl32.fasta</t>
  </si>
  <si>
    <t>./data/Angiosperm353/aln_plastid25/rpl33.fasta</t>
  </si>
  <si>
    <t>./data/Angiosperm353/aln_plastid25/rpl36.fasta</t>
  </si>
  <si>
    <t>./data/Angiosperm353/aln_plastid25/rps16.fasta</t>
  </si>
  <si>
    <t>./data/Angiosperm353/aln_plastid25/rps18.fasta</t>
  </si>
  <si>
    <t>./data/Angiosperm353/aln_plastid25/atpF.fasta</t>
  </si>
  <si>
    <t>./data/Angiosperm353/aln_plastid25/ndhE.fasta</t>
  </si>
  <si>
    <t>./data/Angiosperm353/aln_plastid25/petD.fasta</t>
  </si>
  <si>
    <t>./data/Angiosperm353/aln_plastid25/psaC.fasta</t>
  </si>
  <si>
    <t>./data/Angiosperm353/aln_plastid25/psaJ.fasta</t>
  </si>
  <si>
    <t>./data/Angiosperm353/aln_plastid25/rpl14.fasta</t>
  </si>
  <si>
    <t>./data/Angiosperm353/aln_plastid25/rpl22.fasta</t>
  </si>
  <si>
    <t>./data/Angiosperm353/aln_plastid25/rps11.fasta</t>
  </si>
  <si>
    <t>./data/Angiosperm353/aln_plastid25/rps15.fasta</t>
  </si>
  <si>
    <t>./data/Angiosperm353/aln_plastid25/rpl16.fasta</t>
  </si>
  <si>
    <t>./data/Angiosperm353/aln_plastid25/ycf2.fasta</t>
  </si>
  <si>
    <t>./data/Angiosperm353/aln_plastid25/ndhD.fasta</t>
  </si>
  <si>
    <t>./data/Angiosperm353/aln_plastid25/rpoA.fasta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</si>
</sst>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Font="1"/>
    <xf numFmtId="0" fontId="1" fillId="0" borderId="0" xfId="0" applyFont="1"/>
    <xf numFmtId="0" fontId="2" fillId="0" borderId="0" xfId="0" applyFont="1" applyAlignment="1">
      <alignment horizontal="left" vertical="center"/>
    </xf>
    <xf numFmtId="0" fontId="0" fillId="0" borderId="0" xfId="0"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2" fillId="0" borderId="0" xfId="0" applyFont="1" applyFill="1" applyAlignment="1">
      <alignment horizontal="center" vertical="center"/>
    </xf>
  </cellXfs>
  <cellStyles count="1">
    <cellStyle name="Normale"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6C2B"/>
      <color rgb="FFFBB6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F696B-AF8B-4914-B95B-37D3C3B5AEBF}">
  <dimension ref="A1:R29"/>
  <sheetViews>
    <sheetView tabSelected="1" workbookViewId="0">
      <selection activeCell="J29" sqref="A1:J29"/>
    </sheetView>
  </sheetViews>
  <sheetFormatPr defaultRowHeight="15" x14ac:dyDescent="0.25"/>
  <cols>
    <col min="1" max="1" width="18.5703125" style="4" bestFit="1" customWidth="1"/>
    <col min="2" max="2" width="8" style="1" bestFit="1" customWidth="1"/>
    <col min="3" max="3" width="10.42578125" style="1" bestFit="1" customWidth="1"/>
    <col min="4" max="4" width="9.140625" style="1" bestFit="1" customWidth="1"/>
    <col min="5" max="5" width="10.7109375" style="1" bestFit="1" customWidth="1"/>
    <col min="6" max="6" width="13.42578125" style="1" bestFit="1" customWidth="1"/>
    <col min="7" max="7" width="11.42578125" style="1" bestFit="1" customWidth="1"/>
    <col min="8" max="10" width="10.5703125" style="1" bestFit="1" customWidth="1"/>
    <col min="11" max="11" width="11.42578125" style="1" bestFit="1" customWidth="1"/>
    <col min="12" max="12" width="15.28515625" style="1" bestFit="1" customWidth="1"/>
    <col min="13" max="13" width="16.28515625" style="1" bestFit="1" customWidth="1"/>
    <col min="14" max="14" width="21.5703125" style="1" bestFit="1" customWidth="1"/>
    <col min="15" max="15" width="19.140625" style="1" bestFit="1" customWidth="1"/>
    <col min="16" max="16" width="24.5703125" style="1" bestFit="1" customWidth="1"/>
    <col min="17" max="17" width="19.85546875" style="1" bestFit="1" customWidth="1"/>
    <col min="18" max="18" width="15.140625" style="1" bestFit="1" customWidth="1"/>
  </cols>
  <sheetData>
    <row r="1" spans="1:18" s="4" customFormat="1" x14ac:dyDescent="0.25">
      <c r="A1" s="4" t="s">
        <v>102</v>
      </c>
      <c r="B1" s="2" t="s">
        <v>103</v>
      </c>
      <c r="C1" s="2" t="s">
        <v>104</v>
      </c>
      <c r="D1" s="2" t="s">
        <v>105</v>
      </c>
      <c r="E1" s="2" t="s">
        <v>106</v>
      </c>
      <c r="F1" s="2" t="s">
        <v>107</v>
      </c>
      <c r="G1" s="2" t="s">
        <v>108</v>
      </c>
      <c r="H1" s="2" t="s">
        <v>109</v>
      </c>
      <c r="I1" s="2" t="s">
        <v>110</v>
      </c>
      <c r="J1" s="2" t="s">
        <v>111</v>
      </c>
      <c r="K1" s="2" t="s">
        <v>112</v>
      </c>
      <c r="L1" s="2" t="s">
        <v>113</v>
      </c>
      <c r="M1" s="2" t="s">
        <v>114</v>
      </c>
      <c r="N1" s="2" t="s">
        <v>115</v>
      </c>
      <c r="O1" s="2" t="s">
        <v>116</v>
      </c>
      <c r="P1" s="2" t="s">
        <v>117</v>
      </c>
      <c r="Q1" s="2" t="s">
        <v>118</v>
      </c>
      <c r="R1" s="2" t="s">
        <v>119</v>
      </c>
    </row>
    <row r="2" spans="1:18" x14ac:dyDescent="0.25">
      <c r="A2" s="4" t="s">
        <v>74</v>
      </c>
      <c r="B2" s="1">
        <v>27664482</v>
      </c>
      <c r="C2" s="1">
        <v>163335</v>
      </c>
      <c r="D2" s="1">
        <v>0.6</v>
      </c>
      <c r="E2" s="1">
        <v>72</v>
      </c>
      <c r="F2" s="1">
        <v>69</v>
      </c>
      <c r="G2" s="1">
        <v>65</v>
      </c>
      <c r="H2" s="1">
        <v>64</v>
      </c>
      <c r="I2" s="1">
        <v>64</v>
      </c>
      <c r="J2" s="1">
        <v>61</v>
      </c>
      <c r="K2" s="1">
        <v>6</v>
      </c>
      <c r="L2" s="1">
        <v>3</v>
      </c>
      <c r="M2" s="1">
        <v>4</v>
      </c>
      <c r="N2" s="1">
        <v>55</v>
      </c>
      <c r="O2" s="1">
        <v>10</v>
      </c>
      <c r="P2" s="1">
        <v>0</v>
      </c>
      <c r="Q2" s="1">
        <v>0</v>
      </c>
      <c r="R2" s="1">
        <v>45291</v>
      </c>
    </row>
    <row r="3" spans="1:18" x14ac:dyDescent="0.25">
      <c r="A3" s="4" t="s">
        <v>75</v>
      </c>
      <c r="B3" s="1">
        <v>24102744</v>
      </c>
      <c r="C3" s="1">
        <v>622051</v>
      </c>
      <c r="D3" s="1">
        <v>2.6</v>
      </c>
      <c r="E3" s="1">
        <v>72</v>
      </c>
      <c r="F3" s="1">
        <v>72</v>
      </c>
      <c r="G3" s="1">
        <v>70</v>
      </c>
      <c r="H3" s="1">
        <v>70</v>
      </c>
      <c r="I3" s="1">
        <v>70</v>
      </c>
      <c r="J3" s="10">
        <v>70</v>
      </c>
      <c r="K3" s="1">
        <v>8</v>
      </c>
      <c r="L3" s="1">
        <v>3</v>
      </c>
      <c r="M3" s="1">
        <v>5</v>
      </c>
      <c r="N3" s="1">
        <v>63</v>
      </c>
      <c r="O3" s="1">
        <v>7</v>
      </c>
      <c r="P3" s="1">
        <v>0</v>
      </c>
      <c r="Q3" s="1">
        <v>0</v>
      </c>
      <c r="R3" s="1">
        <v>50364</v>
      </c>
    </row>
    <row r="4" spans="1:18" x14ac:dyDescent="0.25">
      <c r="A4" s="4" t="s">
        <v>76</v>
      </c>
      <c r="B4" s="1">
        <v>29117686</v>
      </c>
      <c r="C4" s="1">
        <v>215793</v>
      </c>
      <c r="D4" s="1">
        <v>0.7</v>
      </c>
      <c r="E4" s="1">
        <v>72</v>
      </c>
      <c r="F4" s="1">
        <v>71</v>
      </c>
      <c r="G4" s="1">
        <v>69</v>
      </c>
      <c r="H4" s="1">
        <v>69</v>
      </c>
      <c r="I4" s="1">
        <v>69</v>
      </c>
      <c r="J4" s="10">
        <v>68</v>
      </c>
      <c r="K4" s="1">
        <v>7</v>
      </c>
      <c r="L4" s="1">
        <v>2</v>
      </c>
      <c r="M4" s="1">
        <v>3</v>
      </c>
      <c r="N4" s="1">
        <v>58</v>
      </c>
      <c r="O4" s="1">
        <v>11</v>
      </c>
      <c r="P4" s="1">
        <v>0</v>
      </c>
      <c r="Q4" s="1">
        <v>0</v>
      </c>
      <c r="R4" s="1">
        <v>50685</v>
      </c>
    </row>
    <row r="5" spans="1:18" x14ac:dyDescent="0.25">
      <c r="A5" s="4" t="s">
        <v>77</v>
      </c>
      <c r="B5" s="1">
        <v>1016676</v>
      </c>
      <c r="C5" s="1">
        <v>5278</v>
      </c>
      <c r="D5" s="1">
        <v>0.5</v>
      </c>
      <c r="E5" s="1">
        <v>66</v>
      </c>
      <c r="F5" s="1">
        <v>42</v>
      </c>
      <c r="G5" s="1">
        <v>38</v>
      </c>
      <c r="H5" s="1">
        <v>33</v>
      </c>
      <c r="I5" s="1">
        <v>20</v>
      </c>
      <c r="J5" s="10">
        <v>11</v>
      </c>
      <c r="K5" s="1">
        <v>0</v>
      </c>
      <c r="L5" s="1">
        <v>0</v>
      </c>
      <c r="M5" s="1">
        <v>0</v>
      </c>
      <c r="N5" s="1">
        <v>22</v>
      </c>
      <c r="O5" s="1">
        <v>16</v>
      </c>
      <c r="P5" s="1">
        <v>0</v>
      </c>
      <c r="Q5" s="1">
        <v>0</v>
      </c>
      <c r="R5" s="1">
        <v>15435</v>
      </c>
    </row>
    <row r="6" spans="1:18" x14ac:dyDescent="0.25">
      <c r="A6" s="4" t="s">
        <v>78</v>
      </c>
      <c r="B6" s="1">
        <v>1362288</v>
      </c>
      <c r="C6" s="1">
        <v>6984</v>
      </c>
      <c r="D6" s="1">
        <v>0.5</v>
      </c>
      <c r="E6" s="1">
        <v>63</v>
      </c>
      <c r="F6" s="1">
        <v>50</v>
      </c>
      <c r="G6" s="1">
        <v>48</v>
      </c>
      <c r="H6" s="1">
        <v>48</v>
      </c>
      <c r="I6" s="1">
        <v>40</v>
      </c>
      <c r="J6" s="10">
        <v>30</v>
      </c>
      <c r="K6" s="1">
        <v>0</v>
      </c>
      <c r="L6" s="1">
        <v>0</v>
      </c>
      <c r="M6" s="1">
        <v>0</v>
      </c>
      <c r="N6" s="1">
        <v>24</v>
      </c>
      <c r="O6" s="1">
        <v>24</v>
      </c>
      <c r="P6" s="1">
        <v>0</v>
      </c>
      <c r="Q6" s="1">
        <v>0</v>
      </c>
      <c r="R6" s="1">
        <v>30801</v>
      </c>
    </row>
    <row r="7" spans="1:18" x14ac:dyDescent="0.25">
      <c r="A7" s="4" t="s">
        <v>79</v>
      </c>
      <c r="B7" s="1">
        <v>1676968</v>
      </c>
      <c r="C7" s="1">
        <v>6945</v>
      </c>
      <c r="D7" s="1">
        <v>0.4</v>
      </c>
      <c r="E7" s="1">
        <v>63</v>
      </c>
      <c r="F7" s="1">
        <v>50</v>
      </c>
      <c r="G7" s="1">
        <v>46</v>
      </c>
      <c r="H7" s="1">
        <v>45</v>
      </c>
      <c r="I7" s="1">
        <v>42</v>
      </c>
      <c r="J7" s="10">
        <v>33</v>
      </c>
      <c r="K7" s="1">
        <v>1</v>
      </c>
      <c r="L7" s="1">
        <v>0</v>
      </c>
      <c r="M7" s="1">
        <v>0</v>
      </c>
      <c r="N7" s="1">
        <v>30</v>
      </c>
      <c r="O7" s="1">
        <v>16</v>
      </c>
      <c r="P7" s="1">
        <v>0</v>
      </c>
      <c r="Q7" s="1">
        <v>0</v>
      </c>
      <c r="R7" s="1">
        <v>27510</v>
      </c>
    </row>
    <row r="8" spans="1:18" x14ac:dyDescent="0.25">
      <c r="A8" s="4" t="s">
        <v>80</v>
      </c>
      <c r="B8" s="1">
        <v>1252994</v>
      </c>
      <c r="C8" s="1">
        <v>3990</v>
      </c>
      <c r="D8" s="1">
        <v>0.3</v>
      </c>
      <c r="E8" s="1">
        <v>70</v>
      </c>
      <c r="F8" s="1">
        <v>42</v>
      </c>
      <c r="G8" s="1">
        <v>40</v>
      </c>
      <c r="H8" s="1">
        <v>35</v>
      </c>
      <c r="I8" s="1">
        <v>30</v>
      </c>
      <c r="J8" s="10">
        <v>15</v>
      </c>
      <c r="K8" s="1">
        <v>0</v>
      </c>
      <c r="L8" s="1">
        <v>0</v>
      </c>
      <c r="M8" s="1">
        <v>0</v>
      </c>
      <c r="N8" s="1">
        <v>23</v>
      </c>
      <c r="O8" s="1">
        <v>17</v>
      </c>
      <c r="P8" s="1">
        <v>0</v>
      </c>
      <c r="Q8" s="1">
        <v>0</v>
      </c>
      <c r="R8" s="1">
        <v>18348</v>
      </c>
    </row>
    <row r="9" spans="1:18" x14ac:dyDescent="0.25">
      <c r="A9" s="4" t="s">
        <v>81</v>
      </c>
      <c r="B9" s="1">
        <v>2419404</v>
      </c>
      <c r="C9" s="1">
        <v>6554</v>
      </c>
      <c r="D9" s="1">
        <v>0.3</v>
      </c>
      <c r="E9" s="1">
        <v>68</v>
      </c>
      <c r="F9" s="1">
        <v>50</v>
      </c>
      <c r="G9" s="1">
        <v>48</v>
      </c>
      <c r="H9" s="1">
        <v>46</v>
      </c>
      <c r="I9" s="1">
        <v>40</v>
      </c>
      <c r="J9" s="10">
        <v>36</v>
      </c>
      <c r="K9" s="1">
        <v>0</v>
      </c>
      <c r="L9" s="1">
        <v>1</v>
      </c>
      <c r="M9" s="1">
        <v>1</v>
      </c>
      <c r="N9" s="1">
        <v>23</v>
      </c>
      <c r="O9" s="1">
        <v>25</v>
      </c>
      <c r="P9" s="1">
        <v>0</v>
      </c>
      <c r="Q9" s="1">
        <v>0</v>
      </c>
      <c r="R9" s="1">
        <v>29685</v>
      </c>
    </row>
    <row r="10" spans="1:18" x14ac:dyDescent="0.25">
      <c r="A10" s="4" t="s">
        <v>82</v>
      </c>
      <c r="B10" s="1">
        <v>29078</v>
      </c>
      <c r="C10" s="1">
        <v>67</v>
      </c>
      <c r="D10" s="1">
        <v>0.2</v>
      </c>
      <c r="E10" s="1">
        <v>14</v>
      </c>
      <c r="F10" s="1">
        <v>1</v>
      </c>
      <c r="G10" s="1">
        <v>0</v>
      </c>
      <c r="H10" s="1">
        <v>0</v>
      </c>
      <c r="I10" s="1">
        <v>0</v>
      </c>
      <c r="J10" s="10">
        <v>0</v>
      </c>
      <c r="K10" s="1">
        <v>0</v>
      </c>
      <c r="L10" s="1">
        <v>0</v>
      </c>
      <c r="M10" s="1">
        <v>0</v>
      </c>
      <c r="N10" s="1">
        <v>0</v>
      </c>
      <c r="O10" s="1">
        <v>0</v>
      </c>
      <c r="P10" s="1">
        <v>0</v>
      </c>
      <c r="Q10" s="1">
        <v>0</v>
      </c>
      <c r="R10" s="1">
        <v>0</v>
      </c>
    </row>
    <row r="11" spans="1:18" x14ac:dyDescent="0.25">
      <c r="A11" s="4" t="s">
        <v>83</v>
      </c>
      <c r="B11" s="1">
        <v>1465914</v>
      </c>
      <c r="C11" s="1">
        <v>3473</v>
      </c>
      <c r="D11" s="1">
        <v>0.2</v>
      </c>
      <c r="E11" s="1">
        <v>58</v>
      </c>
      <c r="F11" s="1">
        <v>45</v>
      </c>
      <c r="G11" s="1">
        <v>42</v>
      </c>
      <c r="H11" s="1">
        <v>36</v>
      </c>
      <c r="I11" s="1">
        <v>28</v>
      </c>
      <c r="J11" s="10">
        <v>17</v>
      </c>
      <c r="K11" s="1">
        <v>0</v>
      </c>
      <c r="L11" s="1">
        <v>0</v>
      </c>
      <c r="M11" s="1">
        <v>0</v>
      </c>
      <c r="N11" s="1">
        <v>26</v>
      </c>
      <c r="O11" s="1">
        <v>16</v>
      </c>
      <c r="P11" s="1">
        <v>0</v>
      </c>
      <c r="Q11" s="1">
        <v>0</v>
      </c>
      <c r="R11" s="1">
        <v>17973</v>
      </c>
    </row>
    <row r="12" spans="1:18" x14ac:dyDescent="0.25">
      <c r="A12" s="4" t="s">
        <v>84</v>
      </c>
      <c r="B12" s="1">
        <v>1049308</v>
      </c>
      <c r="C12" s="1">
        <v>4647</v>
      </c>
      <c r="D12" s="1">
        <v>0.4</v>
      </c>
      <c r="E12" s="1">
        <v>61</v>
      </c>
      <c r="F12" s="1">
        <v>37</v>
      </c>
      <c r="G12" s="1">
        <v>33</v>
      </c>
      <c r="H12" s="1">
        <v>30</v>
      </c>
      <c r="I12" s="1">
        <v>16</v>
      </c>
      <c r="J12" s="10">
        <v>8</v>
      </c>
      <c r="K12" s="1">
        <v>1</v>
      </c>
      <c r="L12" s="1">
        <v>0</v>
      </c>
      <c r="M12" s="1">
        <v>0</v>
      </c>
      <c r="N12" s="1">
        <v>19</v>
      </c>
      <c r="O12" s="1">
        <v>14</v>
      </c>
      <c r="P12" s="1">
        <v>0</v>
      </c>
      <c r="Q12" s="1">
        <v>0</v>
      </c>
      <c r="R12" s="1">
        <v>12369</v>
      </c>
    </row>
    <row r="13" spans="1:18" x14ac:dyDescent="0.25">
      <c r="A13" s="4" t="s">
        <v>85</v>
      </c>
      <c r="B13" s="1">
        <v>1539268</v>
      </c>
      <c r="C13" s="1">
        <v>10241</v>
      </c>
      <c r="D13" s="1">
        <v>0.7</v>
      </c>
      <c r="E13" s="1">
        <v>69</v>
      </c>
      <c r="F13" s="1">
        <v>59</v>
      </c>
      <c r="G13" s="1">
        <v>56</v>
      </c>
      <c r="H13" s="1">
        <v>54</v>
      </c>
      <c r="I13" s="1">
        <v>44</v>
      </c>
      <c r="J13" s="10">
        <v>34</v>
      </c>
      <c r="K13" s="1">
        <v>2</v>
      </c>
      <c r="L13" s="1">
        <v>0</v>
      </c>
      <c r="M13" s="1">
        <v>0</v>
      </c>
      <c r="N13" s="1">
        <v>34</v>
      </c>
      <c r="O13" s="1">
        <v>22</v>
      </c>
      <c r="P13" s="1">
        <v>0</v>
      </c>
      <c r="Q13" s="1">
        <v>0</v>
      </c>
      <c r="R13" s="1">
        <v>30915</v>
      </c>
    </row>
    <row r="14" spans="1:18" x14ac:dyDescent="0.25">
      <c r="A14" s="4" t="s">
        <v>86</v>
      </c>
      <c r="B14" s="1">
        <v>1486286</v>
      </c>
      <c r="C14" s="1">
        <v>1670</v>
      </c>
      <c r="D14" s="1">
        <v>0.1</v>
      </c>
      <c r="E14" s="1">
        <v>47</v>
      </c>
      <c r="F14" s="1">
        <v>26</v>
      </c>
      <c r="G14" s="1">
        <v>21</v>
      </c>
      <c r="H14" s="1">
        <v>16</v>
      </c>
      <c r="I14" s="1">
        <v>10</v>
      </c>
      <c r="J14" s="10">
        <v>3</v>
      </c>
      <c r="K14" s="1">
        <v>0</v>
      </c>
      <c r="L14" s="1">
        <v>0</v>
      </c>
      <c r="M14" s="1">
        <v>0</v>
      </c>
      <c r="N14" s="1">
        <v>15</v>
      </c>
      <c r="O14" s="1">
        <v>6</v>
      </c>
      <c r="P14" s="1">
        <v>0</v>
      </c>
      <c r="Q14" s="1">
        <v>0</v>
      </c>
      <c r="R14" s="1">
        <v>5973</v>
      </c>
    </row>
    <row r="15" spans="1:18" x14ac:dyDescent="0.25">
      <c r="A15" s="4" t="s">
        <v>87</v>
      </c>
      <c r="B15" s="1">
        <v>1016914</v>
      </c>
      <c r="C15" s="1">
        <v>4463</v>
      </c>
      <c r="D15" s="1">
        <v>0.4</v>
      </c>
      <c r="E15" s="1">
        <v>61</v>
      </c>
      <c r="F15" s="1">
        <v>42</v>
      </c>
      <c r="G15" s="1">
        <v>40</v>
      </c>
      <c r="H15" s="1">
        <v>38</v>
      </c>
      <c r="I15" s="1">
        <v>22</v>
      </c>
      <c r="J15" s="10">
        <v>14</v>
      </c>
      <c r="K15" s="1">
        <v>1</v>
      </c>
      <c r="L15" s="1">
        <v>0</v>
      </c>
      <c r="M15" s="1">
        <v>0</v>
      </c>
      <c r="N15" s="1">
        <v>27</v>
      </c>
      <c r="O15" s="1">
        <v>13</v>
      </c>
      <c r="P15" s="1">
        <v>0</v>
      </c>
      <c r="Q15" s="1">
        <v>0</v>
      </c>
      <c r="R15" s="1">
        <v>18381</v>
      </c>
    </row>
    <row r="16" spans="1:18" x14ac:dyDescent="0.25">
      <c r="A16" s="4" t="s">
        <v>88</v>
      </c>
      <c r="B16" s="1">
        <v>2354712</v>
      </c>
      <c r="C16" s="1">
        <v>6972</v>
      </c>
      <c r="D16" s="1">
        <v>0.3</v>
      </c>
      <c r="E16" s="1">
        <v>69</v>
      </c>
      <c r="F16" s="1">
        <v>56</v>
      </c>
      <c r="G16" s="1">
        <v>56</v>
      </c>
      <c r="H16" s="1">
        <v>54</v>
      </c>
      <c r="I16" s="1">
        <v>51</v>
      </c>
      <c r="J16" s="10">
        <v>43</v>
      </c>
      <c r="K16" s="1">
        <v>1</v>
      </c>
      <c r="L16" s="1">
        <v>0</v>
      </c>
      <c r="M16" s="1">
        <v>0</v>
      </c>
      <c r="N16" s="1">
        <v>35</v>
      </c>
      <c r="O16" s="1">
        <v>21</v>
      </c>
      <c r="P16" s="1">
        <v>0</v>
      </c>
      <c r="Q16" s="1">
        <v>0</v>
      </c>
      <c r="R16" s="1">
        <v>33636</v>
      </c>
    </row>
    <row r="17" spans="1:18" x14ac:dyDescent="0.25">
      <c r="A17" s="4" t="s">
        <v>89</v>
      </c>
      <c r="B17" s="1">
        <v>1883902</v>
      </c>
      <c r="C17" s="1">
        <v>12619</v>
      </c>
      <c r="D17" s="1">
        <v>0.7</v>
      </c>
      <c r="E17" s="1">
        <v>71</v>
      </c>
      <c r="F17" s="1">
        <v>64</v>
      </c>
      <c r="G17" s="1">
        <v>61</v>
      </c>
      <c r="H17" s="1">
        <v>61</v>
      </c>
      <c r="I17" s="1">
        <v>60</v>
      </c>
      <c r="J17" s="10">
        <v>55</v>
      </c>
      <c r="K17" s="1">
        <v>5</v>
      </c>
      <c r="L17" s="1">
        <v>0</v>
      </c>
      <c r="M17" s="1">
        <v>0</v>
      </c>
      <c r="N17" s="1">
        <v>35</v>
      </c>
      <c r="O17" s="1">
        <v>26</v>
      </c>
      <c r="P17" s="1">
        <v>0</v>
      </c>
      <c r="Q17" s="1">
        <v>0</v>
      </c>
      <c r="R17" s="1">
        <v>42963</v>
      </c>
    </row>
    <row r="18" spans="1:18" x14ac:dyDescent="0.25">
      <c r="A18" s="4" t="s">
        <v>90</v>
      </c>
      <c r="B18" s="1">
        <v>2659150</v>
      </c>
      <c r="C18" s="1">
        <v>34887</v>
      </c>
      <c r="D18" s="1">
        <v>1.3</v>
      </c>
      <c r="E18" s="1">
        <v>71</v>
      </c>
      <c r="F18" s="1">
        <v>70</v>
      </c>
      <c r="G18" s="1">
        <v>68</v>
      </c>
      <c r="H18" s="1">
        <v>68</v>
      </c>
      <c r="I18" s="1">
        <v>68</v>
      </c>
      <c r="J18" s="10">
        <v>68</v>
      </c>
      <c r="K18" s="1">
        <v>7</v>
      </c>
      <c r="L18" s="1">
        <v>1</v>
      </c>
      <c r="M18" s="1">
        <v>1</v>
      </c>
      <c r="N18" s="1">
        <v>54</v>
      </c>
      <c r="O18" s="1">
        <v>14</v>
      </c>
      <c r="P18" s="1">
        <v>0</v>
      </c>
      <c r="Q18" s="1">
        <v>0</v>
      </c>
      <c r="R18" s="1">
        <v>51246</v>
      </c>
    </row>
    <row r="19" spans="1:18" x14ac:dyDescent="0.25">
      <c r="A19" s="4" t="s">
        <v>91</v>
      </c>
      <c r="B19" s="1">
        <v>1157646</v>
      </c>
      <c r="C19" s="1">
        <v>8876</v>
      </c>
      <c r="D19" s="1">
        <v>0.8</v>
      </c>
      <c r="E19" s="1">
        <v>69</v>
      </c>
      <c r="F19" s="1">
        <v>60</v>
      </c>
      <c r="G19" s="1">
        <v>56</v>
      </c>
      <c r="H19" s="1">
        <v>56</v>
      </c>
      <c r="I19" s="1">
        <v>54</v>
      </c>
      <c r="J19" s="10">
        <v>49</v>
      </c>
      <c r="K19" s="1">
        <v>2</v>
      </c>
      <c r="L19" s="1">
        <v>0</v>
      </c>
      <c r="M19" s="1">
        <v>0</v>
      </c>
      <c r="N19" s="1">
        <v>30</v>
      </c>
      <c r="O19" s="1">
        <v>26</v>
      </c>
      <c r="P19" s="1">
        <v>0</v>
      </c>
      <c r="Q19" s="1">
        <v>0</v>
      </c>
      <c r="R19" s="1">
        <v>39429</v>
      </c>
    </row>
    <row r="20" spans="1:18" x14ac:dyDescent="0.25">
      <c r="A20" s="4" t="s">
        <v>92</v>
      </c>
      <c r="B20" s="1">
        <v>1006162</v>
      </c>
      <c r="C20" s="1">
        <v>6562</v>
      </c>
      <c r="D20" s="1">
        <v>0.7</v>
      </c>
      <c r="E20" s="1">
        <v>66</v>
      </c>
      <c r="F20" s="1">
        <v>48</v>
      </c>
      <c r="G20" s="1">
        <v>44</v>
      </c>
      <c r="H20" s="1">
        <v>40</v>
      </c>
      <c r="I20" s="1">
        <v>32</v>
      </c>
      <c r="J20" s="10">
        <v>18</v>
      </c>
      <c r="K20" s="1">
        <v>0</v>
      </c>
      <c r="L20" s="1">
        <v>0</v>
      </c>
      <c r="M20" s="1">
        <v>0</v>
      </c>
      <c r="N20" s="1">
        <v>29</v>
      </c>
      <c r="O20" s="1">
        <v>15</v>
      </c>
      <c r="P20" s="1">
        <v>0</v>
      </c>
      <c r="Q20" s="1">
        <v>0</v>
      </c>
      <c r="R20" s="1">
        <v>20649</v>
      </c>
    </row>
    <row r="21" spans="1:18" x14ac:dyDescent="0.25">
      <c r="A21" s="4" t="s">
        <v>93</v>
      </c>
      <c r="B21" s="1">
        <v>19173660</v>
      </c>
      <c r="C21" s="1">
        <v>74334</v>
      </c>
      <c r="D21" s="1">
        <v>0.4</v>
      </c>
      <c r="E21" s="1">
        <v>72</v>
      </c>
      <c r="F21" s="1">
        <v>66</v>
      </c>
      <c r="G21" s="1">
        <v>64</v>
      </c>
      <c r="H21" s="1">
        <v>64</v>
      </c>
      <c r="I21" s="1">
        <v>61</v>
      </c>
      <c r="J21" s="10">
        <v>56</v>
      </c>
      <c r="K21" s="1">
        <v>4</v>
      </c>
      <c r="L21" s="1">
        <v>1</v>
      </c>
      <c r="M21" s="1">
        <v>2</v>
      </c>
      <c r="N21" s="1">
        <v>58</v>
      </c>
      <c r="O21" s="1">
        <v>6</v>
      </c>
      <c r="P21" s="1">
        <v>0</v>
      </c>
      <c r="Q21" s="1">
        <v>0</v>
      </c>
      <c r="R21" s="1">
        <v>41478</v>
      </c>
    </row>
    <row r="22" spans="1:18" x14ac:dyDescent="0.25">
      <c r="A22" s="4" t="s">
        <v>94</v>
      </c>
      <c r="B22" s="1">
        <v>24038082</v>
      </c>
      <c r="C22" s="1">
        <v>76458</v>
      </c>
      <c r="D22" s="1">
        <v>0.3</v>
      </c>
      <c r="E22" s="1">
        <v>71</v>
      </c>
      <c r="F22" s="1">
        <v>66</v>
      </c>
      <c r="G22" s="1">
        <v>65</v>
      </c>
      <c r="H22" s="1">
        <v>65</v>
      </c>
      <c r="I22" s="1">
        <v>60</v>
      </c>
      <c r="J22" s="1">
        <v>59</v>
      </c>
      <c r="K22" s="1">
        <v>4</v>
      </c>
      <c r="L22" s="1">
        <v>2</v>
      </c>
      <c r="M22" s="1">
        <v>3</v>
      </c>
      <c r="N22" s="1">
        <v>56</v>
      </c>
      <c r="O22" s="1">
        <v>9</v>
      </c>
      <c r="P22" s="1">
        <v>0</v>
      </c>
      <c r="Q22" s="1">
        <v>0</v>
      </c>
      <c r="R22" s="1">
        <v>40578</v>
      </c>
    </row>
    <row r="23" spans="1:18" x14ac:dyDescent="0.25">
      <c r="A23" s="4" t="s">
        <v>95</v>
      </c>
      <c r="B23" s="1">
        <v>26175642</v>
      </c>
      <c r="C23" s="1">
        <v>123034</v>
      </c>
      <c r="D23" s="1">
        <v>0.5</v>
      </c>
      <c r="E23" s="1">
        <v>72</v>
      </c>
      <c r="F23" s="1">
        <v>67</v>
      </c>
      <c r="G23" s="1">
        <v>65</v>
      </c>
      <c r="H23" s="1">
        <v>64</v>
      </c>
      <c r="I23" s="1">
        <v>64</v>
      </c>
      <c r="J23" s="1">
        <v>64</v>
      </c>
      <c r="K23" s="1">
        <v>6</v>
      </c>
      <c r="L23" s="1">
        <v>3</v>
      </c>
      <c r="M23" s="1">
        <v>4</v>
      </c>
      <c r="N23" s="1">
        <v>57</v>
      </c>
      <c r="O23" s="1">
        <v>8</v>
      </c>
      <c r="P23" s="1">
        <v>0</v>
      </c>
      <c r="Q23" s="1">
        <v>0</v>
      </c>
      <c r="R23" s="1">
        <v>46530</v>
      </c>
    </row>
    <row r="24" spans="1:18" x14ac:dyDescent="0.25">
      <c r="A24" s="4" t="s">
        <v>96</v>
      </c>
      <c r="B24" s="1">
        <v>29914760</v>
      </c>
      <c r="C24" s="1">
        <v>89182</v>
      </c>
      <c r="D24" s="1">
        <v>0.3</v>
      </c>
      <c r="E24" s="1">
        <v>72</v>
      </c>
      <c r="F24" s="1">
        <v>67</v>
      </c>
      <c r="G24" s="1">
        <v>65</v>
      </c>
      <c r="H24" s="1">
        <v>64</v>
      </c>
      <c r="I24" s="1">
        <v>63</v>
      </c>
      <c r="J24" s="1">
        <v>62</v>
      </c>
      <c r="K24" s="1">
        <v>6</v>
      </c>
      <c r="L24" s="1">
        <v>2</v>
      </c>
      <c r="M24" s="1">
        <v>3</v>
      </c>
      <c r="N24" s="1">
        <v>58</v>
      </c>
      <c r="O24" s="1">
        <v>7</v>
      </c>
      <c r="P24" s="1">
        <v>0</v>
      </c>
      <c r="Q24" s="1">
        <v>0</v>
      </c>
      <c r="R24" s="1">
        <v>45060</v>
      </c>
    </row>
    <row r="25" spans="1:18" x14ac:dyDescent="0.25">
      <c r="A25" s="4" t="s">
        <v>97</v>
      </c>
      <c r="B25" s="1">
        <v>25356416</v>
      </c>
      <c r="C25" s="1">
        <v>192616</v>
      </c>
      <c r="D25" s="1">
        <v>0.8</v>
      </c>
      <c r="E25" s="1">
        <v>72</v>
      </c>
      <c r="F25" s="1">
        <v>70</v>
      </c>
      <c r="G25" s="1">
        <v>70</v>
      </c>
      <c r="H25" s="1">
        <v>69</v>
      </c>
      <c r="I25" s="1">
        <v>68</v>
      </c>
      <c r="J25" s="1">
        <v>66</v>
      </c>
      <c r="K25" s="1">
        <v>6</v>
      </c>
      <c r="L25" s="1">
        <v>7</v>
      </c>
      <c r="M25" s="1">
        <v>8</v>
      </c>
      <c r="N25" s="1">
        <v>60</v>
      </c>
      <c r="O25" s="1">
        <v>10</v>
      </c>
      <c r="P25" s="1">
        <v>0</v>
      </c>
      <c r="Q25" s="1">
        <v>0</v>
      </c>
      <c r="R25" s="1">
        <v>43854</v>
      </c>
    </row>
    <row r="26" spans="1:18" x14ac:dyDescent="0.25">
      <c r="A26" s="4" t="s">
        <v>98</v>
      </c>
      <c r="B26" s="1">
        <v>29616580</v>
      </c>
      <c r="C26" s="1">
        <v>118725</v>
      </c>
      <c r="D26" s="1">
        <v>0.4</v>
      </c>
      <c r="E26" s="1">
        <v>72</v>
      </c>
      <c r="F26" s="1">
        <v>71</v>
      </c>
      <c r="G26" s="1">
        <v>68</v>
      </c>
      <c r="H26" s="1">
        <v>67</v>
      </c>
      <c r="I26" s="1">
        <v>67</v>
      </c>
      <c r="J26" s="1">
        <v>66</v>
      </c>
      <c r="K26" s="1">
        <v>5</v>
      </c>
      <c r="L26" s="1">
        <v>3</v>
      </c>
      <c r="M26" s="1">
        <v>4</v>
      </c>
      <c r="N26" s="1">
        <v>62</v>
      </c>
      <c r="O26" s="1">
        <v>6</v>
      </c>
      <c r="P26" s="1">
        <v>0</v>
      </c>
      <c r="Q26" s="1">
        <v>0</v>
      </c>
      <c r="R26" s="1">
        <v>45807</v>
      </c>
    </row>
    <row r="27" spans="1:18" x14ac:dyDescent="0.25">
      <c r="A27" s="4" t="s">
        <v>99</v>
      </c>
      <c r="B27" s="1">
        <v>26576016</v>
      </c>
      <c r="C27" s="1">
        <v>230385</v>
      </c>
      <c r="D27" s="1">
        <v>0.9</v>
      </c>
      <c r="E27" s="1">
        <v>72</v>
      </c>
      <c r="F27" s="1">
        <v>71</v>
      </c>
      <c r="G27" s="1">
        <v>70</v>
      </c>
      <c r="H27" s="1">
        <v>70</v>
      </c>
      <c r="I27" s="1">
        <v>70</v>
      </c>
      <c r="J27" s="1">
        <v>70</v>
      </c>
      <c r="K27" s="1">
        <v>9</v>
      </c>
      <c r="L27" s="1">
        <v>3</v>
      </c>
      <c r="M27" s="1">
        <v>4</v>
      </c>
      <c r="N27" s="1">
        <v>65</v>
      </c>
      <c r="O27" s="1">
        <v>5</v>
      </c>
      <c r="P27" s="1">
        <v>0</v>
      </c>
      <c r="Q27" s="1">
        <v>0</v>
      </c>
      <c r="R27" s="1">
        <v>52299</v>
      </c>
    </row>
    <row r="28" spans="1:18" x14ac:dyDescent="0.25">
      <c r="A28" s="4" t="s">
        <v>100</v>
      </c>
      <c r="B28" s="1">
        <v>27437082</v>
      </c>
      <c r="C28" s="1">
        <v>151491</v>
      </c>
      <c r="D28" s="1">
        <v>0.6</v>
      </c>
      <c r="E28" s="1">
        <v>72</v>
      </c>
      <c r="F28" s="1">
        <v>71</v>
      </c>
      <c r="G28" s="1">
        <v>70</v>
      </c>
      <c r="H28" s="1">
        <v>70</v>
      </c>
      <c r="I28" s="1">
        <v>70</v>
      </c>
      <c r="J28" s="1">
        <v>70</v>
      </c>
      <c r="K28" s="1">
        <v>8</v>
      </c>
      <c r="L28" s="1">
        <v>4</v>
      </c>
      <c r="M28" s="1">
        <v>5</v>
      </c>
      <c r="N28" s="1">
        <v>64</v>
      </c>
      <c r="O28" s="1">
        <v>6</v>
      </c>
      <c r="P28" s="1">
        <v>0</v>
      </c>
      <c r="Q28" s="1">
        <v>0</v>
      </c>
      <c r="R28" s="1">
        <v>51993</v>
      </c>
    </row>
    <row r="29" spans="1:18" x14ac:dyDescent="0.25">
      <c r="A29" s="4" t="s">
        <v>101</v>
      </c>
      <c r="B29" s="1">
        <v>27857018</v>
      </c>
      <c r="C29" s="1">
        <v>127794</v>
      </c>
      <c r="D29" s="1">
        <v>0.5</v>
      </c>
      <c r="E29" s="1">
        <v>72</v>
      </c>
      <c r="F29" s="1">
        <v>72</v>
      </c>
      <c r="G29" s="1">
        <v>69</v>
      </c>
      <c r="H29" s="1">
        <v>69</v>
      </c>
      <c r="I29" s="1">
        <v>68</v>
      </c>
      <c r="J29" s="1">
        <v>66</v>
      </c>
      <c r="K29" s="1">
        <v>6</v>
      </c>
      <c r="L29" s="1">
        <v>5</v>
      </c>
      <c r="M29" s="1">
        <v>7</v>
      </c>
      <c r="N29" s="1">
        <v>62</v>
      </c>
      <c r="O29" s="1">
        <v>7</v>
      </c>
      <c r="P29" s="1">
        <v>0</v>
      </c>
      <c r="Q29" s="1">
        <v>0</v>
      </c>
      <c r="R29" s="1">
        <v>44958</v>
      </c>
    </row>
  </sheetData>
  <conditionalFormatting sqref="H2:H29">
    <cfRule type="cellIs" dxfId="4" priority="3" operator="greaterThan">
      <formula>29</formula>
    </cfRule>
  </conditionalFormatting>
  <conditionalFormatting sqref="I2:I29">
    <cfRule type="cellIs" dxfId="3" priority="2" operator="greaterThan">
      <formula>29</formula>
    </cfRule>
  </conditionalFormatting>
  <conditionalFormatting sqref="J2:J29">
    <cfRule type="cellIs" dxfId="0" priority="1" operator="greaterThan">
      <formula>15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47"/>
  <sheetViews>
    <sheetView topLeftCell="A13" workbookViewId="0">
      <selection activeCell="B43" sqref="B43"/>
    </sheetView>
  </sheetViews>
  <sheetFormatPr defaultRowHeight="15" x14ac:dyDescent="0.25"/>
  <cols>
    <col min="1" max="1" width="34.85546875" bestFit="1" customWidth="1"/>
  </cols>
  <sheetData>
    <row r="1" spans="1:7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x14ac:dyDescent="0.25">
      <c r="A2" t="s">
        <v>73</v>
      </c>
      <c r="B2">
        <v>578</v>
      </c>
      <c r="C2">
        <v>1402</v>
      </c>
      <c r="D2">
        <v>987</v>
      </c>
      <c r="E2">
        <v>344</v>
      </c>
      <c r="F2">
        <v>410</v>
      </c>
      <c r="G2">
        <v>495</v>
      </c>
      <c r="H2">
        <v>449</v>
      </c>
      <c r="I2">
        <v>542</v>
      </c>
      <c r="J2">
        <v>433</v>
      </c>
      <c r="K2">
        <v>176</v>
      </c>
      <c r="L2">
        <v>950</v>
      </c>
      <c r="M2">
        <v>824</v>
      </c>
      <c r="N2">
        <v>1074</v>
      </c>
      <c r="O2">
        <v>270</v>
      </c>
      <c r="P2">
        <v>840</v>
      </c>
      <c r="Q2">
        <v>253</v>
      </c>
      <c r="R2">
        <v>1130</v>
      </c>
      <c r="S2">
        <v>475</v>
      </c>
      <c r="T2">
        <v>865</v>
      </c>
      <c r="U2">
        <v>354</v>
      </c>
      <c r="V2">
        <v>418</v>
      </c>
      <c r="W2">
        <v>580</v>
      </c>
      <c r="X2">
        <v>554</v>
      </c>
      <c r="Y2">
        <v>487</v>
      </c>
      <c r="Z2">
        <v>406</v>
      </c>
      <c r="AA2">
        <v>90</v>
      </c>
      <c r="AB2">
        <v>1570</v>
      </c>
      <c r="AC2">
        <v>1299</v>
      </c>
      <c r="AD2">
        <v>204</v>
      </c>
      <c r="AE2">
        <v>99</v>
      </c>
      <c r="AF2">
        <v>120</v>
      </c>
      <c r="AG2">
        <v>931</v>
      </c>
      <c r="AH2">
        <v>1265</v>
      </c>
      <c r="AI2">
        <v>1192</v>
      </c>
      <c r="AJ2">
        <v>859</v>
      </c>
      <c r="AK2">
        <v>232</v>
      </c>
      <c r="AL2">
        <v>186</v>
      </c>
      <c r="AM2">
        <v>120</v>
      </c>
      <c r="AN2">
        <v>118</v>
      </c>
      <c r="AO2">
        <v>99</v>
      </c>
      <c r="AP2">
        <v>126</v>
      </c>
      <c r="AQ2">
        <v>96</v>
      </c>
      <c r="AR2">
        <v>178</v>
      </c>
      <c r="AS2">
        <v>936</v>
      </c>
      <c r="AT2">
        <v>343</v>
      </c>
      <c r="AU2">
        <v>331</v>
      </c>
      <c r="AV2">
        <v>662</v>
      </c>
      <c r="AW2">
        <v>319</v>
      </c>
      <c r="AX2">
        <v>306</v>
      </c>
      <c r="AY2">
        <v>214</v>
      </c>
      <c r="AZ2">
        <v>122</v>
      </c>
      <c r="BA2">
        <v>182</v>
      </c>
      <c r="BB2">
        <v>105</v>
      </c>
      <c r="BC2">
        <v>638</v>
      </c>
      <c r="BD2">
        <v>1409</v>
      </c>
      <c r="BE2">
        <v>1000</v>
      </c>
      <c r="BF2">
        <v>3410</v>
      </c>
      <c r="BG2">
        <v>367</v>
      </c>
      <c r="BH2">
        <v>250</v>
      </c>
      <c r="BI2">
        <v>271</v>
      </c>
      <c r="BJ2">
        <v>114</v>
      </c>
      <c r="BK2">
        <v>205</v>
      </c>
      <c r="BL2">
        <v>257</v>
      </c>
      <c r="BM2">
        <v>262</v>
      </c>
      <c r="BN2">
        <v>579</v>
      </c>
      <c r="BO2">
        <v>550</v>
      </c>
      <c r="BP2">
        <v>484</v>
      </c>
      <c r="BQ2">
        <v>435</v>
      </c>
      <c r="BR2">
        <v>347</v>
      </c>
      <c r="BS2">
        <v>930</v>
      </c>
      <c r="BT2">
        <v>308</v>
      </c>
      <c r="BU2">
        <v>485</v>
      </c>
    </row>
    <row r="3" spans="1:73" x14ac:dyDescent="0.25">
      <c r="A3" t="s">
        <v>74</v>
      </c>
      <c r="B3">
        <v>414</v>
      </c>
      <c r="C3">
        <v>1446</v>
      </c>
      <c r="D3">
        <v>1464</v>
      </c>
      <c r="E3">
        <v>384</v>
      </c>
      <c r="F3">
        <v>531</v>
      </c>
      <c r="G3">
        <v>729</v>
      </c>
      <c r="H3">
        <v>330</v>
      </c>
      <c r="I3">
        <v>630</v>
      </c>
      <c r="J3">
        <v>0</v>
      </c>
      <c r="K3">
        <v>180</v>
      </c>
      <c r="L3">
        <v>897</v>
      </c>
      <c r="M3">
        <v>1080</v>
      </c>
      <c r="N3">
        <v>144</v>
      </c>
      <c r="O3">
        <v>360</v>
      </c>
      <c r="P3">
        <v>0</v>
      </c>
      <c r="Q3">
        <v>288</v>
      </c>
      <c r="R3">
        <v>1302</v>
      </c>
      <c r="S3">
        <v>522</v>
      </c>
      <c r="T3">
        <v>1161</v>
      </c>
      <c r="U3">
        <v>420</v>
      </c>
      <c r="V3">
        <v>459</v>
      </c>
      <c r="W3">
        <v>843</v>
      </c>
      <c r="X3">
        <v>900</v>
      </c>
      <c r="Y3">
        <v>639</v>
      </c>
      <c r="Z3">
        <v>465</v>
      </c>
      <c r="AA3">
        <v>90</v>
      </c>
      <c r="AB3">
        <v>2244</v>
      </c>
      <c r="AC3">
        <v>2181</v>
      </c>
      <c r="AD3">
        <v>222</v>
      </c>
      <c r="AE3">
        <v>93</v>
      </c>
      <c r="AF3">
        <v>120</v>
      </c>
      <c r="AG3">
        <v>1050</v>
      </c>
      <c r="AH3">
        <v>1515</v>
      </c>
      <c r="AI3">
        <v>1350</v>
      </c>
      <c r="AJ3">
        <v>1059</v>
      </c>
      <c r="AK3">
        <v>147</v>
      </c>
      <c r="AL3">
        <v>198</v>
      </c>
      <c r="AM3">
        <v>120</v>
      </c>
      <c r="AN3">
        <v>117</v>
      </c>
      <c r="AO3">
        <v>99</v>
      </c>
      <c r="AP3">
        <v>126</v>
      </c>
      <c r="AQ3">
        <v>96</v>
      </c>
      <c r="AR3">
        <v>0</v>
      </c>
      <c r="AS3">
        <v>1401</v>
      </c>
      <c r="AT3">
        <v>366</v>
      </c>
      <c r="AU3">
        <v>387</v>
      </c>
      <c r="AV3">
        <v>765</v>
      </c>
      <c r="AW3">
        <v>339</v>
      </c>
      <c r="AX3">
        <v>309</v>
      </c>
      <c r="AY3">
        <v>264</v>
      </c>
      <c r="AZ3">
        <v>0</v>
      </c>
      <c r="BA3">
        <v>198</v>
      </c>
      <c r="BB3">
        <v>93</v>
      </c>
      <c r="BC3">
        <v>960</v>
      </c>
      <c r="BD3">
        <v>2568</v>
      </c>
      <c r="BE3">
        <v>2022</v>
      </c>
      <c r="BF3">
        <v>4098</v>
      </c>
      <c r="BG3">
        <v>408</v>
      </c>
      <c r="BH3">
        <v>0</v>
      </c>
      <c r="BI3">
        <v>297</v>
      </c>
      <c r="BJ3">
        <v>117</v>
      </c>
      <c r="BK3">
        <v>0</v>
      </c>
      <c r="BL3">
        <v>207</v>
      </c>
      <c r="BM3">
        <v>243</v>
      </c>
      <c r="BN3">
        <v>711</v>
      </c>
      <c r="BO3">
        <v>621</v>
      </c>
      <c r="BP3">
        <v>600</v>
      </c>
      <c r="BQ3">
        <v>468</v>
      </c>
      <c r="BR3">
        <v>399</v>
      </c>
      <c r="BS3">
        <v>0</v>
      </c>
      <c r="BT3">
        <v>486</v>
      </c>
      <c r="BU3">
        <v>549</v>
      </c>
    </row>
    <row r="4" spans="1:73" x14ac:dyDescent="0.25">
      <c r="A4" t="s">
        <v>75</v>
      </c>
      <c r="B4">
        <v>663</v>
      </c>
      <c r="C4">
        <v>1464</v>
      </c>
      <c r="D4">
        <v>1464</v>
      </c>
      <c r="E4">
        <v>384</v>
      </c>
      <c r="F4">
        <v>531</v>
      </c>
      <c r="G4">
        <v>729</v>
      </c>
      <c r="H4">
        <v>678</v>
      </c>
      <c r="I4">
        <v>654</v>
      </c>
      <c r="J4">
        <v>585</v>
      </c>
      <c r="K4">
        <v>0</v>
      </c>
      <c r="L4">
        <v>1047</v>
      </c>
      <c r="M4">
        <v>1080</v>
      </c>
      <c r="N4">
        <v>1530</v>
      </c>
      <c r="O4">
        <v>357</v>
      </c>
      <c r="P4">
        <v>1470</v>
      </c>
      <c r="Q4">
        <v>297</v>
      </c>
      <c r="R4">
        <v>1980</v>
      </c>
      <c r="S4">
        <v>522</v>
      </c>
      <c r="T4">
        <v>1152</v>
      </c>
      <c r="U4">
        <v>429</v>
      </c>
      <c r="V4">
        <v>459</v>
      </c>
      <c r="W4">
        <v>762</v>
      </c>
      <c r="X4">
        <v>900</v>
      </c>
      <c r="Y4">
        <v>639</v>
      </c>
      <c r="Z4">
        <v>465</v>
      </c>
      <c r="AA4">
        <v>90</v>
      </c>
      <c r="AB4">
        <v>2244</v>
      </c>
      <c r="AC4">
        <v>2181</v>
      </c>
      <c r="AD4">
        <v>222</v>
      </c>
      <c r="AE4">
        <v>93</v>
      </c>
      <c r="AF4">
        <v>120</v>
      </c>
      <c r="AG4">
        <v>1047</v>
      </c>
      <c r="AH4">
        <v>1515</v>
      </c>
      <c r="AI4">
        <v>1350</v>
      </c>
      <c r="AJ4">
        <v>1059</v>
      </c>
      <c r="AK4">
        <v>243</v>
      </c>
      <c r="AL4">
        <v>198</v>
      </c>
      <c r="AM4">
        <v>120</v>
      </c>
      <c r="AN4">
        <v>126</v>
      </c>
      <c r="AO4">
        <v>99</v>
      </c>
      <c r="AP4">
        <v>126</v>
      </c>
      <c r="AQ4">
        <v>96</v>
      </c>
      <c r="AR4">
        <v>180</v>
      </c>
      <c r="AS4">
        <v>1404</v>
      </c>
      <c r="AT4">
        <v>366</v>
      </c>
      <c r="AU4">
        <v>387</v>
      </c>
      <c r="AV4">
        <v>759</v>
      </c>
      <c r="AW4">
        <v>342</v>
      </c>
      <c r="AX4">
        <v>312</v>
      </c>
      <c r="AY4">
        <v>267</v>
      </c>
      <c r="AZ4">
        <v>132</v>
      </c>
      <c r="BA4">
        <v>198</v>
      </c>
      <c r="BB4">
        <v>105</v>
      </c>
      <c r="BC4">
        <v>975</v>
      </c>
      <c r="BD4">
        <v>1182</v>
      </c>
      <c r="BE4">
        <v>2025</v>
      </c>
      <c r="BF4">
        <v>4125</v>
      </c>
      <c r="BG4">
        <v>408</v>
      </c>
      <c r="BH4">
        <v>309</v>
      </c>
      <c r="BI4">
        <v>297</v>
      </c>
      <c r="BJ4">
        <v>117</v>
      </c>
      <c r="BK4">
        <v>0</v>
      </c>
      <c r="BL4">
        <v>297</v>
      </c>
      <c r="BM4">
        <v>261</v>
      </c>
      <c r="BN4">
        <v>705</v>
      </c>
      <c r="BO4">
        <v>621</v>
      </c>
      <c r="BP4">
        <v>600</v>
      </c>
      <c r="BQ4">
        <v>462</v>
      </c>
      <c r="BR4">
        <v>399</v>
      </c>
      <c r="BS4">
        <v>924</v>
      </c>
      <c r="BT4">
        <v>486</v>
      </c>
      <c r="BU4">
        <v>549</v>
      </c>
    </row>
    <row r="5" spans="1:73" x14ac:dyDescent="0.25">
      <c r="A5" t="s">
        <v>76</v>
      </c>
      <c r="B5">
        <v>630</v>
      </c>
      <c r="C5">
        <v>1446</v>
      </c>
      <c r="D5">
        <v>1464</v>
      </c>
      <c r="E5">
        <v>384</v>
      </c>
      <c r="F5">
        <v>531</v>
      </c>
      <c r="G5">
        <v>729</v>
      </c>
      <c r="H5">
        <v>657</v>
      </c>
      <c r="I5">
        <v>630</v>
      </c>
      <c r="J5">
        <v>0</v>
      </c>
      <c r="K5">
        <v>171</v>
      </c>
      <c r="L5">
        <v>1056</v>
      </c>
      <c r="M5">
        <v>1080</v>
      </c>
      <c r="N5">
        <v>1530</v>
      </c>
      <c r="O5">
        <v>360</v>
      </c>
      <c r="P5">
        <v>1470</v>
      </c>
      <c r="Q5">
        <v>297</v>
      </c>
      <c r="R5">
        <v>1434</v>
      </c>
      <c r="S5">
        <v>522</v>
      </c>
      <c r="T5">
        <v>1161</v>
      </c>
      <c r="U5">
        <v>420</v>
      </c>
      <c r="V5">
        <v>459</v>
      </c>
      <c r="W5">
        <v>843</v>
      </c>
      <c r="X5">
        <v>900</v>
      </c>
      <c r="Y5">
        <v>639</v>
      </c>
      <c r="Z5">
        <v>465</v>
      </c>
      <c r="AA5">
        <v>90</v>
      </c>
      <c r="AB5">
        <v>2244</v>
      </c>
      <c r="AC5">
        <v>2181</v>
      </c>
      <c r="AD5">
        <v>222</v>
      </c>
      <c r="AE5">
        <v>93</v>
      </c>
      <c r="AF5">
        <v>120</v>
      </c>
      <c r="AG5">
        <v>1050</v>
      </c>
      <c r="AH5">
        <v>1515</v>
      </c>
      <c r="AI5">
        <v>1350</v>
      </c>
      <c r="AJ5">
        <v>1059</v>
      </c>
      <c r="AK5">
        <v>243</v>
      </c>
      <c r="AL5">
        <v>198</v>
      </c>
      <c r="AM5">
        <v>120</v>
      </c>
      <c r="AN5">
        <v>117</v>
      </c>
      <c r="AO5">
        <v>99</v>
      </c>
      <c r="AP5">
        <v>126</v>
      </c>
      <c r="AQ5">
        <v>96</v>
      </c>
      <c r="AR5">
        <v>180</v>
      </c>
      <c r="AS5">
        <v>1401</v>
      </c>
      <c r="AT5">
        <v>366</v>
      </c>
      <c r="AU5">
        <v>387</v>
      </c>
      <c r="AV5">
        <v>765</v>
      </c>
      <c r="AW5">
        <v>339</v>
      </c>
      <c r="AX5">
        <v>309</v>
      </c>
      <c r="AY5">
        <v>264</v>
      </c>
      <c r="AZ5">
        <v>0</v>
      </c>
      <c r="BA5">
        <v>198</v>
      </c>
      <c r="BB5">
        <v>93</v>
      </c>
      <c r="BC5">
        <v>969</v>
      </c>
      <c r="BD5">
        <v>3177</v>
      </c>
      <c r="BE5">
        <v>2022</v>
      </c>
      <c r="BF5">
        <v>4098</v>
      </c>
      <c r="BG5">
        <v>408</v>
      </c>
      <c r="BH5">
        <v>288</v>
      </c>
      <c r="BI5">
        <v>297</v>
      </c>
      <c r="BJ5">
        <v>117</v>
      </c>
      <c r="BK5">
        <v>0</v>
      </c>
      <c r="BL5">
        <v>234</v>
      </c>
      <c r="BM5">
        <v>243</v>
      </c>
      <c r="BN5">
        <v>687</v>
      </c>
      <c r="BO5">
        <v>621</v>
      </c>
      <c r="BP5">
        <v>600</v>
      </c>
      <c r="BQ5">
        <v>468</v>
      </c>
      <c r="BR5">
        <v>399</v>
      </c>
      <c r="BS5">
        <v>519</v>
      </c>
      <c r="BT5">
        <v>486</v>
      </c>
      <c r="BU5">
        <v>549</v>
      </c>
    </row>
    <row r="6" spans="1:73" x14ac:dyDescent="0.25">
      <c r="A6" t="s">
        <v>77</v>
      </c>
      <c r="B6">
        <v>183</v>
      </c>
      <c r="C6">
        <v>315</v>
      </c>
      <c r="D6">
        <v>399</v>
      </c>
      <c r="E6">
        <v>156</v>
      </c>
      <c r="F6">
        <v>0</v>
      </c>
      <c r="G6">
        <v>276</v>
      </c>
      <c r="H6">
        <v>0</v>
      </c>
      <c r="I6">
        <v>219</v>
      </c>
      <c r="J6">
        <v>0</v>
      </c>
      <c r="K6">
        <v>0</v>
      </c>
      <c r="L6">
        <v>432</v>
      </c>
      <c r="M6">
        <v>597</v>
      </c>
      <c r="N6">
        <v>1515</v>
      </c>
      <c r="O6">
        <v>0</v>
      </c>
      <c r="P6">
        <v>543</v>
      </c>
      <c r="Q6">
        <v>0</v>
      </c>
      <c r="R6">
        <v>138</v>
      </c>
      <c r="S6">
        <v>0</v>
      </c>
      <c r="T6">
        <v>393</v>
      </c>
      <c r="U6">
        <v>0</v>
      </c>
      <c r="V6">
        <v>0</v>
      </c>
      <c r="W6">
        <v>0</v>
      </c>
      <c r="X6">
        <v>453</v>
      </c>
      <c r="Y6">
        <v>237</v>
      </c>
      <c r="Z6">
        <v>0</v>
      </c>
      <c r="AA6">
        <v>0</v>
      </c>
      <c r="AB6">
        <v>1014</v>
      </c>
      <c r="AC6">
        <v>627</v>
      </c>
      <c r="AD6">
        <v>0</v>
      </c>
      <c r="AE6">
        <v>0</v>
      </c>
      <c r="AF6">
        <v>0</v>
      </c>
      <c r="AG6">
        <v>372</v>
      </c>
      <c r="AH6">
        <v>525</v>
      </c>
      <c r="AI6">
        <v>582</v>
      </c>
      <c r="AJ6">
        <v>138</v>
      </c>
      <c r="AK6">
        <v>0</v>
      </c>
      <c r="AL6">
        <v>99</v>
      </c>
      <c r="AM6">
        <v>87</v>
      </c>
      <c r="AN6">
        <v>0</v>
      </c>
      <c r="AO6">
        <v>0</v>
      </c>
      <c r="AP6">
        <v>126</v>
      </c>
      <c r="AQ6">
        <v>96</v>
      </c>
      <c r="AR6">
        <v>165</v>
      </c>
      <c r="AS6">
        <v>348</v>
      </c>
      <c r="AT6">
        <v>0</v>
      </c>
      <c r="AU6">
        <v>0</v>
      </c>
      <c r="AV6">
        <v>402</v>
      </c>
      <c r="AW6">
        <v>0</v>
      </c>
      <c r="AX6">
        <v>0</v>
      </c>
      <c r="AY6">
        <v>213</v>
      </c>
      <c r="AZ6">
        <v>0</v>
      </c>
      <c r="BA6">
        <v>0</v>
      </c>
      <c r="BB6">
        <v>0</v>
      </c>
      <c r="BC6">
        <v>270</v>
      </c>
      <c r="BD6">
        <v>927</v>
      </c>
      <c r="BE6">
        <v>975</v>
      </c>
      <c r="BF6">
        <v>261</v>
      </c>
      <c r="BG6">
        <v>0</v>
      </c>
      <c r="BH6">
        <v>231</v>
      </c>
      <c r="BI6">
        <v>0</v>
      </c>
      <c r="BJ6">
        <v>0</v>
      </c>
      <c r="BK6">
        <v>0</v>
      </c>
      <c r="BL6">
        <v>0</v>
      </c>
      <c r="BM6">
        <v>0</v>
      </c>
      <c r="BN6">
        <v>0</v>
      </c>
      <c r="BO6">
        <v>600</v>
      </c>
      <c r="BP6">
        <v>0</v>
      </c>
      <c r="BQ6">
        <v>468</v>
      </c>
      <c r="BR6">
        <v>0</v>
      </c>
      <c r="BS6">
        <v>489</v>
      </c>
      <c r="BT6">
        <v>57</v>
      </c>
      <c r="BU6">
        <v>507</v>
      </c>
    </row>
    <row r="7" spans="1:73" x14ac:dyDescent="0.25">
      <c r="A7" t="s">
        <v>78</v>
      </c>
      <c r="B7">
        <v>495</v>
      </c>
      <c r="C7">
        <v>1209</v>
      </c>
      <c r="D7">
        <v>924</v>
      </c>
      <c r="E7">
        <v>231</v>
      </c>
      <c r="F7">
        <v>531</v>
      </c>
      <c r="G7">
        <v>699</v>
      </c>
      <c r="H7">
        <v>138</v>
      </c>
      <c r="I7">
        <v>0</v>
      </c>
      <c r="J7">
        <v>171</v>
      </c>
      <c r="K7">
        <v>0</v>
      </c>
      <c r="L7">
        <v>474</v>
      </c>
      <c r="M7">
        <v>375</v>
      </c>
      <c r="N7">
        <v>1416</v>
      </c>
      <c r="O7">
        <v>0</v>
      </c>
      <c r="P7">
        <v>351</v>
      </c>
      <c r="Q7">
        <v>123</v>
      </c>
      <c r="R7">
        <v>762</v>
      </c>
      <c r="S7">
        <v>0</v>
      </c>
      <c r="T7">
        <v>1077</v>
      </c>
      <c r="U7">
        <v>399</v>
      </c>
      <c r="V7">
        <v>441</v>
      </c>
      <c r="W7">
        <v>564</v>
      </c>
      <c r="X7">
        <v>798</v>
      </c>
      <c r="Y7">
        <v>468</v>
      </c>
      <c r="Z7">
        <v>441</v>
      </c>
      <c r="AA7">
        <v>0</v>
      </c>
      <c r="AB7">
        <v>2091</v>
      </c>
      <c r="AC7">
        <v>1584</v>
      </c>
      <c r="AD7">
        <v>165</v>
      </c>
      <c r="AE7">
        <v>0</v>
      </c>
      <c r="AF7">
        <v>0</v>
      </c>
      <c r="AG7">
        <v>1008</v>
      </c>
      <c r="AH7">
        <v>1338</v>
      </c>
      <c r="AI7">
        <v>738</v>
      </c>
      <c r="AJ7">
        <v>1032</v>
      </c>
      <c r="AK7">
        <v>0</v>
      </c>
      <c r="AL7">
        <v>0</v>
      </c>
      <c r="AM7">
        <v>0</v>
      </c>
      <c r="AN7">
        <v>0</v>
      </c>
      <c r="AO7">
        <v>0</v>
      </c>
      <c r="AP7">
        <v>126</v>
      </c>
      <c r="AQ7">
        <v>0</v>
      </c>
      <c r="AR7">
        <v>0</v>
      </c>
      <c r="AS7">
        <v>1215</v>
      </c>
      <c r="AT7">
        <v>171</v>
      </c>
      <c r="AU7">
        <v>0</v>
      </c>
      <c r="AV7">
        <v>786</v>
      </c>
      <c r="AW7">
        <v>210</v>
      </c>
      <c r="AX7">
        <v>222</v>
      </c>
      <c r="AY7">
        <v>0</v>
      </c>
      <c r="AZ7">
        <v>0</v>
      </c>
      <c r="BA7">
        <v>0</v>
      </c>
      <c r="BB7">
        <v>0</v>
      </c>
      <c r="BC7">
        <v>426</v>
      </c>
      <c r="BD7">
        <v>1056</v>
      </c>
      <c r="BE7">
        <v>1032</v>
      </c>
      <c r="BF7">
        <v>2043</v>
      </c>
      <c r="BG7">
        <v>0</v>
      </c>
      <c r="BH7">
        <v>288</v>
      </c>
      <c r="BI7">
        <v>0</v>
      </c>
      <c r="BJ7">
        <v>117</v>
      </c>
      <c r="BK7">
        <v>0</v>
      </c>
      <c r="BL7">
        <v>294</v>
      </c>
      <c r="BM7">
        <v>264</v>
      </c>
      <c r="BN7">
        <v>180</v>
      </c>
      <c r="BO7">
        <v>288</v>
      </c>
      <c r="BP7">
        <v>441</v>
      </c>
      <c r="BQ7">
        <v>468</v>
      </c>
      <c r="BR7">
        <v>0</v>
      </c>
      <c r="BS7">
        <v>696</v>
      </c>
      <c r="BT7">
        <v>0</v>
      </c>
      <c r="BU7">
        <v>435</v>
      </c>
    </row>
    <row r="8" spans="1:73" x14ac:dyDescent="0.25">
      <c r="A8" t="s">
        <v>79</v>
      </c>
      <c r="B8">
        <v>531</v>
      </c>
      <c r="C8">
        <v>954</v>
      </c>
      <c r="D8">
        <v>1371</v>
      </c>
      <c r="E8">
        <v>0</v>
      </c>
      <c r="F8">
        <v>333</v>
      </c>
      <c r="G8">
        <v>537</v>
      </c>
      <c r="H8">
        <v>198</v>
      </c>
      <c r="I8">
        <v>0</v>
      </c>
      <c r="J8">
        <v>0</v>
      </c>
      <c r="K8">
        <v>0</v>
      </c>
      <c r="L8">
        <v>0</v>
      </c>
      <c r="M8">
        <v>360</v>
      </c>
      <c r="N8">
        <v>1314</v>
      </c>
      <c r="O8">
        <v>0</v>
      </c>
      <c r="P8">
        <v>600</v>
      </c>
      <c r="Q8">
        <v>0</v>
      </c>
      <c r="R8">
        <v>573</v>
      </c>
      <c r="S8">
        <v>462</v>
      </c>
      <c r="T8">
        <v>1086</v>
      </c>
      <c r="U8">
        <v>0</v>
      </c>
      <c r="V8">
        <v>0</v>
      </c>
      <c r="W8">
        <v>498</v>
      </c>
      <c r="X8">
        <v>576</v>
      </c>
      <c r="Y8">
        <v>396</v>
      </c>
      <c r="Z8">
        <v>429</v>
      </c>
      <c r="AA8">
        <v>0</v>
      </c>
      <c r="AB8">
        <v>1914</v>
      </c>
      <c r="AC8">
        <v>1299</v>
      </c>
      <c r="AD8">
        <v>210</v>
      </c>
      <c r="AE8">
        <v>0</v>
      </c>
      <c r="AF8">
        <v>78</v>
      </c>
      <c r="AG8">
        <v>723</v>
      </c>
      <c r="AH8">
        <v>672</v>
      </c>
      <c r="AI8">
        <v>0</v>
      </c>
      <c r="AJ8">
        <v>696</v>
      </c>
      <c r="AK8">
        <v>0</v>
      </c>
      <c r="AL8">
        <v>171</v>
      </c>
      <c r="AM8">
        <v>0</v>
      </c>
      <c r="AN8">
        <v>0</v>
      </c>
      <c r="AO8">
        <v>0</v>
      </c>
      <c r="AP8">
        <v>0</v>
      </c>
      <c r="AQ8">
        <v>0</v>
      </c>
      <c r="AR8">
        <v>0</v>
      </c>
      <c r="AS8">
        <v>1047</v>
      </c>
      <c r="AT8">
        <v>0</v>
      </c>
      <c r="AU8">
        <v>324</v>
      </c>
      <c r="AV8">
        <v>762</v>
      </c>
      <c r="AW8">
        <v>261</v>
      </c>
      <c r="AX8">
        <v>279</v>
      </c>
      <c r="AY8">
        <v>246</v>
      </c>
      <c r="AZ8">
        <v>0</v>
      </c>
      <c r="BA8">
        <v>0</v>
      </c>
      <c r="BB8">
        <v>0</v>
      </c>
      <c r="BC8">
        <v>399</v>
      </c>
      <c r="BD8">
        <v>915</v>
      </c>
      <c r="BE8">
        <v>1689</v>
      </c>
      <c r="BF8">
        <v>1806</v>
      </c>
      <c r="BG8">
        <v>369</v>
      </c>
      <c r="BH8">
        <v>288</v>
      </c>
      <c r="BI8">
        <v>222</v>
      </c>
      <c r="BJ8">
        <v>117</v>
      </c>
      <c r="BK8">
        <v>0</v>
      </c>
      <c r="BL8">
        <v>0</v>
      </c>
      <c r="BM8">
        <v>234</v>
      </c>
      <c r="BN8">
        <v>234</v>
      </c>
      <c r="BO8">
        <v>81</v>
      </c>
      <c r="BP8">
        <v>438</v>
      </c>
      <c r="BQ8">
        <v>468</v>
      </c>
      <c r="BR8">
        <v>0</v>
      </c>
      <c r="BS8">
        <v>744</v>
      </c>
      <c r="BT8">
        <v>249</v>
      </c>
      <c r="BU8">
        <v>357</v>
      </c>
    </row>
    <row r="9" spans="1:73" x14ac:dyDescent="0.25">
      <c r="A9" t="s">
        <v>80</v>
      </c>
      <c r="B9">
        <v>414</v>
      </c>
      <c r="C9">
        <v>312</v>
      </c>
      <c r="D9">
        <v>450</v>
      </c>
      <c r="E9">
        <v>252</v>
      </c>
      <c r="F9">
        <v>0</v>
      </c>
      <c r="G9">
        <v>0</v>
      </c>
      <c r="H9">
        <v>363</v>
      </c>
      <c r="I9">
        <v>90</v>
      </c>
      <c r="J9">
        <v>0</v>
      </c>
      <c r="K9">
        <v>0</v>
      </c>
      <c r="L9">
        <v>0</v>
      </c>
      <c r="M9">
        <v>198</v>
      </c>
      <c r="N9">
        <v>1197</v>
      </c>
      <c r="O9">
        <v>0</v>
      </c>
      <c r="P9">
        <v>240</v>
      </c>
      <c r="Q9">
        <v>0</v>
      </c>
      <c r="R9">
        <v>555</v>
      </c>
      <c r="S9">
        <v>438</v>
      </c>
      <c r="T9">
        <v>774</v>
      </c>
      <c r="U9">
        <v>192</v>
      </c>
      <c r="V9">
        <v>390</v>
      </c>
      <c r="W9">
        <v>0</v>
      </c>
      <c r="X9">
        <v>402</v>
      </c>
      <c r="Y9">
        <v>0</v>
      </c>
      <c r="Z9">
        <v>210</v>
      </c>
      <c r="AA9">
        <v>0</v>
      </c>
      <c r="AB9">
        <v>1041</v>
      </c>
      <c r="AC9">
        <v>549</v>
      </c>
      <c r="AD9">
        <v>0</v>
      </c>
      <c r="AE9">
        <v>93</v>
      </c>
      <c r="AF9">
        <v>0</v>
      </c>
      <c r="AG9">
        <v>633</v>
      </c>
      <c r="AH9">
        <v>0</v>
      </c>
      <c r="AI9">
        <v>693</v>
      </c>
      <c r="AJ9">
        <v>825</v>
      </c>
      <c r="AK9">
        <v>0</v>
      </c>
      <c r="AL9">
        <v>0</v>
      </c>
      <c r="AM9">
        <v>120</v>
      </c>
      <c r="AN9">
        <v>0</v>
      </c>
      <c r="AO9">
        <v>0</v>
      </c>
      <c r="AP9">
        <v>0</v>
      </c>
      <c r="AQ9">
        <v>0</v>
      </c>
      <c r="AR9">
        <v>0</v>
      </c>
      <c r="AS9">
        <v>690</v>
      </c>
      <c r="AT9">
        <v>189</v>
      </c>
      <c r="AU9">
        <v>0</v>
      </c>
      <c r="AV9">
        <v>429</v>
      </c>
      <c r="AW9">
        <v>0</v>
      </c>
      <c r="AX9">
        <v>0</v>
      </c>
      <c r="AY9">
        <v>0</v>
      </c>
      <c r="AZ9">
        <v>0</v>
      </c>
      <c r="BA9">
        <v>198</v>
      </c>
      <c r="BB9">
        <v>0</v>
      </c>
      <c r="BC9">
        <v>525</v>
      </c>
      <c r="BD9">
        <v>1191</v>
      </c>
      <c r="BE9">
        <v>219</v>
      </c>
      <c r="BF9">
        <v>1779</v>
      </c>
      <c r="BG9">
        <v>315</v>
      </c>
      <c r="BH9">
        <v>288</v>
      </c>
      <c r="BI9">
        <v>0</v>
      </c>
      <c r="BJ9">
        <v>0</v>
      </c>
      <c r="BK9">
        <v>0</v>
      </c>
      <c r="BL9">
        <v>0</v>
      </c>
      <c r="BM9">
        <v>216</v>
      </c>
      <c r="BN9">
        <v>210</v>
      </c>
      <c r="BO9">
        <v>0</v>
      </c>
      <c r="BP9">
        <v>90</v>
      </c>
      <c r="BQ9">
        <v>399</v>
      </c>
      <c r="BR9">
        <v>228</v>
      </c>
      <c r="BS9">
        <v>606</v>
      </c>
      <c r="BT9">
        <v>0</v>
      </c>
      <c r="BU9">
        <v>345</v>
      </c>
    </row>
    <row r="10" spans="1:73" x14ac:dyDescent="0.25">
      <c r="A10" t="s">
        <v>81</v>
      </c>
      <c r="B10">
        <v>468</v>
      </c>
      <c r="C10">
        <v>1092</v>
      </c>
      <c r="D10">
        <v>1335</v>
      </c>
      <c r="E10">
        <v>303</v>
      </c>
      <c r="F10">
        <v>0</v>
      </c>
      <c r="G10">
        <v>0</v>
      </c>
      <c r="H10">
        <v>102</v>
      </c>
      <c r="I10">
        <v>216</v>
      </c>
      <c r="J10">
        <v>0</v>
      </c>
      <c r="K10">
        <v>0</v>
      </c>
      <c r="L10">
        <v>147</v>
      </c>
      <c r="M10">
        <v>678</v>
      </c>
      <c r="N10">
        <v>1335</v>
      </c>
      <c r="O10">
        <v>177</v>
      </c>
      <c r="P10">
        <v>525</v>
      </c>
      <c r="Q10">
        <v>297</v>
      </c>
      <c r="R10">
        <v>837</v>
      </c>
      <c r="S10">
        <v>513</v>
      </c>
      <c r="T10">
        <v>789</v>
      </c>
      <c r="U10">
        <v>96</v>
      </c>
      <c r="V10">
        <v>336</v>
      </c>
      <c r="W10">
        <v>600</v>
      </c>
      <c r="X10">
        <v>765</v>
      </c>
      <c r="Y10">
        <v>438</v>
      </c>
      <c r="Z10">
        <v>0</v>
      </c>
      <c r="AA10">
        <v>0</v>
      </c>
      <c r="AB10">
        <v>1950</v>
      </c>
      <c r="AC10">
        <v>1542</v>
      </c>
      <c r="AD10">
        <v>126</v>
      </c>
      <c r="AE10">
        <v>0</v>
      </c>
      <c r="AF10">
        <v>0</v>
      </c>
      <c r="AG10">
        <v>1050</v>
      </c>
      <c r="AH10">
        <v>954</v>
      </c>
      <c r="AI10">
        <v>1068</v>
      </c>
      <c r="AJ10">
        <v>1032</v>
      </c>
      <c r="AK10">
        <v>243</v>
      </c>
      <c r="AL10">
        <v>0</v>
      </c>
      <c r="AM10">
        <v>120</v>
      </c>
      <c r="AN10">
        <v>0</v>
      </c>
      <c r="AO10">
        <v>0</v>
      </c>
      <c r="AP10">
        <v>126</v>
      </c>
      <c r="AQ10">
        <v>96</v>
      </c>
      <c r="AR10">
        <v>0</v>
      </c>
      <c r="AS10">
        <v>1338</v>
      </c>
      <c r="AT10">
        <v>168</v>
      </c>
      <c r="AU10">
        <v>357</v>
      </c>
      <c r="AV10">
        <v>750</v>
      </c>
      <c r="AW10">
        <v>0</v>
      </c>
      <c r="AX10">
        <v>318</v>
      </c>
      <c r="AY10">
        <v>231</v>
      </c>
      <c r="AZ10">
        <v>0</v>
      </c>
      <c r="BA10">
        <v>0</v>
      </c>
      <c r="BB10">
        <v>0</v>
      </c>
      <c r="BC10">
        <v>615</v>
      </c>
      <c r="BD10">
        <v>1284</v>
      </c>
      <c r="BE10">
        <v>1329</v>
      </c>
      <c r="BF10">
        <v>1425</v>
      </c>
      <c r="BG10">
        <v>0</v>
      </c>
      <c r="BH10">
        <v>231</v>
      </c>
      <c r="BI10">
        <v>0</v>
      </c>
      <c r="BJ10">
        <v>0</v>
      </c>
      <c r="BK10">
        <v>0</v>
      </c>
      <c r="BL10">
        <v>0</v>
      </c>
      <c r="BM10">
        <v>0</v>
      </c>
      <c r="BN10">
        <v>513</v>
      </c>
      <c r="BO10">
        <v>0</v>
      </c>
      <c r="BP10">
        <v>204</v>
      </c>
      <c r="BQ10">
        <v>462</v>
      </c>
      <c r="BR10">
        <v>0</v>
      </c>
      <c r="BS10">
        <v>300</v>
      </c>
      <c r="BT10">
        <v>351</v>
      </c>
      <c r="BU10">
        <v>453</v>
      </c>
    </row>
    <row r="11" spans="1:73" x14ac:dyDescent="0.25">
      <c r="A11" t="s">
        <v>82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row>
    <row r="12" spans="1:73" x14ac:dyDescent="0.25">
      <c r="A12" t="s">
        <v>83</v>
      </c>
      <c r="B12">
        <v>333</v>
      </c>
      <c r="C12">
        <v>768</v>
      </c>
      <c r="D12">
        <v>399</v>
      </c>
      <c r="E12">
        <v>234</v>
      </c>
      <c r="F12">
        <v>531</v>
      </c>
      <c r="G12">
        <v>114</v>
      </c>
      <c r="H12">
        <v>0</v>
      </c>
      <c r="I12">
        <v>642</v>
      </c>
      <c r="J12">
        <v>222</v>
      </c>
      <c r="K12">
        <v>0</v>
      </c>
      <c r="L12">
        <v>123</v>
      </c>
      <c r="M12">
        <v>456</v>
      </c>
      <c r="N12">
        <v>810</v>
      </c>
      <c r="O12">
        <v>288</v>
      </c>
      <c r="P12">
        <v>126</v>
      </c>
      <c r="Q12">
        <v>0</v>
      </c>
      <c r="R12">
        <v>615</v>
      </c>
      <c r="S12">
        <v>366</v>
      </c>
      <c r="T12">
        <v>483</v>
      </c>
      <c r="U12">
        <v>0</v>
      </c>
      <c r="V12">
        <v>0</v>
      </c>
      <c r="W12">
        <v>294</v>
      </c>
      <c r="X12">
        <v>609</v>
      </c>
      <c r="Y12">
        <v>0</v>
      </c>
      <c r="Z12">
        <v>0</v>
      </c>
      <c r="AA12">
        <v>87</v>
      </c>
      <c r="AB12">
        <v>576</v>
      </c>
      <c r="AC12">
        <v>765</v>
      </c>
      <c r="AD12">
        <v>0</v>
      </c>
      <c r="AE12">
        <v>0</v>
      </c>
      <c r="AF12">
        <v>0</v>
      </c>
      <c r="AG12">
        <v>243</v>
      </c>
      <c r="AH12">
        <v>318</v>
      </c>
      <c r="AI12">
        <v>726</v>
      </c>
      <c r="AJ12">
        <v>0</v>
      </c>
      <c r="AK12">
        <v>183</v>
      </c>
      <c r="AL12">
        <v>0</v>
      </c>
      <c r="AM12">
        <v>0</v>
      </c>
      <c r="AN12">
        <v>126</v>
      </c>
      <c r="AO12">
        <v>0</v>
      </c>
      <c r="AP12">
        <v>0</v>
      </c>
      <c r="AQ12">
        <v>0</v>
      </c>
      <c r="AR12">
        <v>0</v>
      </c>
      <c r="AS12">
        <v>198</v>
      </c>
      <c r="AT12">
        <v>0</v>
      </c>
      <c r="AU12">
        <v>108</v>
      </c>
      <c r="AV12">
        <v>165</v>
      </c>
      <c r="AW12">
        <v>306</v>
      </c>
      <c r="AX12">
        <v>0</v>
      </c>
      <c r="AY12">
        <v>0</v>
      </c>
      <c r="AZ12">
        <v>0</v>
      </c>
      <c r="BA12">
        <v>0</v>
      </c>
      <c r="BB12">
        <v>0</v>
      </c>
      <c r="BC12">
        <v>0</v>
      </c>
      <c r="BD12">
        <v>1662</v>
      </c>
      <c r="BE12">
        <v>1017</v>
      </c>
      <c r="BF12">
        <v>1488</v>
      </c>
      <c r="BG12">
        <v>0</v>
      </c>
      <c r="BH12">
        <v>69</v>
      </c>
      <c r="BI12">
        <v>0</v>
      </c>
      <c r="BJ12">
        <v>0</v>
      </c>
      <c r="BK12">
        <v>0</v>
      </c>
      <c r="BL12">
        <v>228</v>
      </c>
      <c r="BM12">
        <v>216</v>
      </c>
      <c r="BN12">
        <v>96</v>
      </c>
      <c r="BO12">
        <v>477</v>
      </c>
      <c r="BP12">
        <v>0</v>
      </c>
      <c r="BQ12">
        <v>0</v>
      </c>
      <c r="BR12">
        <v>357</v>
      </c>
      <c r="BS12">
        <v>708</v>
      </c>
      <c r="BT12">
        <v>81</v>
      </c>
      <c r="BU12">
        <v>360</v>
      </c>
    </row>
    <row r="13" spans="1:73" x14ac:dyDescent="0.25">
      <c r="A13" t="s">
        <v>84</v>
      </c>
      <c r="B13">
        <v>0</v>
      </c>
      <c r="C13">
        <v>225</v>
      </c>
      <c r="D13">
        <v>0</v>
      </c>
      <c r="E13">
        <v>213</v>
      </c>
      <c r="F13">
        <v>0</v>
      </c>
      <c r="G13">
        <v>261</v>
      </c>
      <c r="H13">
        <v>285</v>
      </c>
      <c r="I13">
        <v>219</v>
      </c>
      <c r="J13">
        <v>0</v>
      </c>
      <c r="K13">
        <v>0</v>
      </c>
      <c r="L13">
        <v>285</v>
      </c>
      <c r="M13">
        <v>282</v>
      </c>
      <c r="N13">
        <v>651</v>
      </c>
      <c r="O13">
        <v>0</v>
      </c>
      <c r="P13">
        <v>444</v>
      </c>
      <c r="Q13">
        <v>0</v>
      </c>
      <c r="R13">
        <v>198</v>
      </c>
      <c r="S13">
        <v>0</v>
      </c>
      <c r="T13">
        <v>873</v>
      </c>
      <c r="U13">
        <v>0</v>
      </c>
      <c r="V13">
        <v>237</v>
      </c>
      <c r="W13">
        <v>228</v>
      </c>
      <c r="X13">
        <v>837</v>
      </c>
      <c r="Y13">
        <v>0</v>
      </c>
      <c r="Z13">
        <v>0</v>
      </c>
      <c r="AA13">
        <v>0</v>
      </c>
      <c r="AB13">
        <v>624</v>
      </c>
      <c r="AC13">
        <v>0</v>
      </c>
      <c r="AD13">
        <v>0</v>
      </c>
      <c r="AE13">
        <v>0</v>
      </c>
      <c r="AF13">
        <v>0</v>
      </c>
      <c r="AG13">
        <v>855</v>
      </c>
      <c r="AH13">
        <v>354</v>
      </c>
      <c r="AI13">
        <v>534</v>
      </c>
      <c r="AJ13">
        <v>252</v>
      </c>
      <c r="AK13">
        <v>0</v>
      </c>
      <c r="AL13">
        <v>153</v>
      </c>
      <c r="AM13">
        <v>0</v>
      </c>
      <c r="AN13">
        <v>0</v>
      </c>
      <c r="AO13">
        <v>0</v>
      </c>
      <c r="AP13">
        <v>102</v>
      </c>
      <c r="AQ13">
        <v>96</v>
      </c>
      <c r="AR13">
        <v>0</v>
      </c>
      <c r="AS13">
        <v>279</v>
      </c>
      <c r="AT13">
        <v>0</v>
      </c>
      <c r="AU13">
        <v>108</v>
      </c>
      <c r="AV13">
        <v>222</v>
      </c>
      <c r="AW13">
        <v>0</v>
      </c>
      <c r="AX13">
        <v>0</v>
      </c>
      <c r="AY13">
        <v>0</v>
      </c>
      <c r="AZ13">
        <v>0</v>
      </c>
      <c r="BA13">
        <v>0</v>
      </c>
      <c r="BB13">
        <v>0</v>
      </c>
      <c r="BC13">
        <v>174</v>
      </c>
      <c r="BD13">
        <v>528</v>
      </c>
      <c r="BE13">
        <v>690</v>
      </c>
      <c r="BF13">
        <v>624</v>
      </c>
      <c r="BG13">
        <v>0</v>
      </c>
      <c r="BH13">
        <v>231</v>
      </c>
      <c r="BI13">
        <v>0</v>
      </c>
      <c r="BJ13">
        <v>0</v>
      </c>
      <c r="BK13">
        <v>0</v>
      </c>
      <c r="BL13">
        <v>0</v>
      </c>
      <c r="BM13">
        <v>0</v>
      </c>
      <c r="BN13">
        <v>0</v>
      </c>
      <c r="BO13">
        <v>615</v>
      </c>
      <c r="BP13">
        <v>0</v>
      </c>
      <c r="BQ13">
        <v>0</v>
      </c>
      <c r="BR13">
        <v>0</v>
      </c>
      <c r="BS13">
        <v>462</v>
      </c>
      <c r="BT13">
        <v>228</v>
      </c>
      <c r="BU13">
        <v>0</v>
      </c>
    </row>
    <row r="14" spans="1:73" x14ac:dyDescent="0.25">
      <c r="A14" t="s">
        <v>85</v>
      </c>
      <c r="B14">
        <v>555</v>
      </c>
      <c r="C14">
        <v>765</v>
      </c>
      <c r="D14">
        <v>1140</v>
      </c>
      <c r="E14">
        <v>108</v>
      </c>
      <c r="F14">
        <v>0</v>
      </c>
      <c r="G14">
        <v>393</v>
      </c>
      <c r="H14">
        <v>312</v>
      </c>
      <c r="I14">
        <v>285</v>
      </c>
      <c r="J14">
        <v>0</v>
      </c>
      <c r="K14">
        <v>0</v>
      </c>
      <c r="L14">
        <v>273</v>
      </c>
      <c r="M14">
        <v>408</v>
      </c>
      <c r="N14">
        <v>1074</v>
      </c>
      <c r="O14">
        <v>360</v>
      </c>
      <c r="P14">
        <v>711</v>
      </c>
      <c r="Q14">
        <v>159</v>
      </c>
      <c r="R14">
        <v>1098</v>
      </c>
      <c r="S14">
        <v>240</v>
      </c>
      <c r="T14">
        <v>1161</v>
      </c>
      <c r="U14">
        <v>108</v>
      </c>
      <c r="V14">
        <v>456</v>
      </c>
      <c r="W14">
        <v>555</v>
      </c>
      <c r="X14">
        <v>744</v>
      </c>
      <c r="Y14">
        <v>321</v>
      </c>
      <c r="Z14">
        <v>0</v>
      </c>
      <c r="AA14">
        <v>0</v>
      </c>
      <c r="AB14">
        <v>1827</v>
      </c>
      <c r="AC14">
        <v>1989</v>
      </c>
      <c r="AD14">
        <v>222</v>
      </c>
      <c r="AE14">
        <v>93</v>
      </c>
      <c r="AF14">
        <v>120</v>
      </c>
      <c r="AG14">
        <v>879</v>
      </c>
      <c r="AH14">
        <v>1095</v>
      </c>
      <c r="AI14">
        <v>489</v>
      </c>
      <c r="AJ14">
        <v>666</v>
      </c>
      <c r="AK14">
        <v>0</v>
      </c>
      <c r="AL14">
        <v>0</v>
      </c>
      <c r="AM14">
        <v>0</v>
      </c>
      <c r="AN14">
        <v>0</v>
      </c>
      <c r="AO14">
        <v>0</v>
      </c>
      <c r="AP14">
        <v>126</v>
      </c>
      <c r="AQ14">
        <v>0</v>
      </c>
      <c r="AR14">
        <v>0</v>
      </c>
      <c r="AS14">
        <v>504</v>
      </c>
      <c r="AT14">
        <v>366</v>
      </c>
      <c r="AU14">
        <v>255</v>
      </c>
      <c r="AV14">
        <v>645</v>
      </c>
      <c r="AW14">
        <v>339</v>
      </c>
      <c r="AX14">
        <v>312</v>
      </c>
      <c r="AY14">
        <v>0</v>
      </c>
      <c r="AZ14">
        <v>0</v>
      </c>
      <c r="BA14">
        <v>141</v>
      </c>
      <c r="BB14">
        <v>51</v>
      </c>
      <c r="BC14">
        <v>954</v>
      </c>
      <c r="BD14">
        <v>2412</v>
      </c>
      <c r="BE14">
        <v>1266</v>
      </c>
      <c r="BF14">
        <v>1377</v>
      </c>
      <c r="BG14">
        <v>258</v>
      </c>
      <c r="BH14">
        <v>231</v>
      </c>
      <c r="BI14">
        <v>189</v>
      </c>
      <c r="BJ14">
        <v>117</v>
      </c>
      <c r="BK14">
        <v>0</v>
      </c>
      <c r="BL14">
        <v>297</v>
      </c>
      <c r="BM14">
        <v>0</v>
      </c>
      <c r="BN14">
        <v>141</v>
      </c>
      <c r="BO14">
        <v>231</v>
      </c>
      <c r="BP14">
        <v>105</v>
      </c>
      <c r="BQ14">
        <v>303</v>
      </c>
      <c r="BR14">
        <v>90</v>
      </c>
      <c r="BS14">
        <v>915</v>
      </c>
      <c r="BT14">
        <v>150</v>
      </c>
      <c r="BU14">
        <v>534</v>
      </c>
    </row>
    <row r="15" spans="1:73" x14ac:dyDescent="0.25">
      <c r="A15" t="s">
        <v>86</v>
      </c>
      <c r="B15">
        <v>414</v>
      </c>
      <c r="C15">
        <v>0</v>
      </c>
      <c r="D15">
        <v>0</v>
      </c>
      <c r="E15">
        <v>0</v>
      </c>
      <c r="F15">
        <v>0</v>
      </c>
      <c r="G15">
        <v>0</v>
      </c>
      <c r="H15">
        <v>0</v>
      </c>
      <c r="I15">
        <v>0</v>
      </c>
      <c r="J15">
        <v>0</v>
      </c>
      <c r="K15">
        <v>0</v>
      </c>
      <c r="L15">
        <v>120</v>
      </c>
      <c r="M15">
        <v>168</v>
      </c>
      <c r="N15">
        <v>414</v>
      </c>
      <c r="O15">
        <v>0</v>
      </c>
      <c r="P15">
        <v>462</v>
      </c>
      <c r="Q15">
        <v>0</v>
      </c>
      <c r="R15">
        <v>321</v>
      </c>
      <c r="S15">
        <v>0</v>
      </c>
      <c r="T15">
        <v>381</v>
      </c>
      <c r="U15">
        <v>0</v>
      </c>
      <c r="V15">
        <v>0</v>
      </c>
      <c r="W15">
        <v>0</v>
      </c>
      <c r="X15">
        <v>342</v>
      </c>
      <c r="Y15">
        <v>276</v>
      </c>
      <c r="Z15">
        <v>0</v>
      </c>
      <c r="AA15">
        <v>0</v>
      </c>
      <c r="AB15">
        <v>0</v>
      </c>
      <c r="AC15">
        <v>0</v>
      </c>
      <c r="AD15">
        <v>0</v>
      </c>
      <c r="AE15">
        <v>0</v>
      </c>
      <c r="AF15">
        <v>0</v>
      </c>
      <c r="AG15">
        <v>606</v>
      </c>
      <c r="AH15">
        <v>0</v>
      </c>
      <c r="AI15">
        <v>0</v>
      </c>
      <c r="AJ15">
        <v>0</v>
      </c>
      <c r="AK15">
        <v>0</v>
      </c>
      <c r="AL15">
        <v>0</v>
      </c>
      <c r="AM15">
        <v>0</v>
      </c>
      <c r="AN15">
        <v>0</v>
      </c>
      <c r="AO15">
        <v>93</v>
      </c>
      <c r="AP15">
        <v>126</v>
      </c>
      <c r="AQ15">
        <v>0</v>
      </c>
      <c r="AR15">
        <v>0</v>
      </c>
      <c r="AS15">
        <v>0</v>
      </c>
      <c r="AT15">
        <v>0</v>
      </c>
      <c r="AU15">
        <v>0</v>
      </c>
      <c r="AV15">
        <v>387</v>
      </c>
      <c r="AW15">
        <v>0</v>
      </c>
      <c r="AX15">
        <v>0</v>
      </c>
      <c r="AY15">
        <v>0</v>
      </c>
      <c r="AZ15">
        <v>0</v>
      </c>
      <c r="BA15">
        <v>0</v>
      </c>
      <c r="BB15">
        <v>0</v>
      </c>
      <c r="BC15">
        <v>0</v>
      </c>
      <c r="BD15">
        <v>177</v>
      </c>
      <c r="BE15">
        <v>294</v>
      </c>
      <c r="BF15">
        <v>279</v>
      </c>
      <c r="BG15">
        <v>0</v>
      </c>
      <c r="BH15">
        <v>123</v>
      </c>
      <c r="BI15">
        <v>0</v>
      </c>
      <c r="BJ15">
        <v>0</v>
      </c>
      <c r="BK15">
        <v>0</v>
      </c>
      <c r="BL15">
        <v>0</v>
      </c>
      <c r="BM15">
        <v>234</v>
      </c>
      <c r="BN15">
        <v>105</v>
      </c>
      <c r="BO15">
        <v>0</v>
      </c>
      <c r="BP15">
        <v>0</v>
      </c>
      <c r="BQ15">
        <v>0</v>
      </c>
      <c r="BR15">
        <v>0</v>
      </c>
      <c r="BS15">
        <v>393</v>
      </c>
      <c r="BT15">
        <v>0</v>
      </c>
      <c r="BU15">
        <v>258</v>
      </c>
    </row>
    <row r="16" spans="1:73" x14ac:dyDescent="0.25">
      <c r="A16" t="s">
        <v>87</v>
      </c>
      <c r="B16">
        <v>630</v>
      </c>
      <c r="C16">
        <v>213</v>
      </c>
      <c r="D16">
        <v>693</v>
      </c>
      <c r="E16">
        <v>165</v>
      </c>
      <c r="F16">
        <v>0</v>
      </c>
      <c r="G16">
        <v>465</v>
      </c>
      <c r="H16">
        <v>0</v>
      </c>
      <c r="I16">
        <v>189</v>
      </c>
      <c r="J16">
        <v>0</v>
      </c>
      <c r="K16">
        <v>0</v>
      </c>
      <c r="L16">
        <v>273</v>
      </c>
      <c r="M16">
        <v>261</v>
      </c>
      <c r="N16">
        <v>1026</v>
      </c>
      <c r="O16">
        <v>0</v>
      </c>
      <c r="P16">
        <v>309</v>
      </c>
      <c r="Q16">
        <v>0</v>
      </c>
      <c r="R16">
        <v>531</v>
      </c>
      <c r="S16">
        <v>0</v>
      </c>
      <c r="T16">
        <v>618</v>
      </c>
      <c r="U16">
        <v>255</v>
      </c>
      <c r="V16">
        <v>0</v>
      </c>
      <c r="W16">
        <v>0</v>
      </c>
      <c r="X16">
        <v>834</v>
      </c>
      <c r="Y16">
        <v>531</v>
      </c>
      <c r="Z16">
        <v>240</v>
      </c>
      <c r="AA16">
        <v>0</v>
      </c>
      <c r="AB16">
        <v>750</v>
      </c>
      <c r="AC16">
        <v>246</v>
      </c>
      <c r="AD16">
        <v>0</v>
      </c>
      <c r="AE16">
        <v>0</v>
      </c>
      <c r="AF16">
        <v>0</v>
      </c>
      <c r="AG16">
        <v>1050</v>
      </c>
      <c r="AH16">
        <v>354</v>
      </c>
      <c r="AI16">
        <v>438</v>
      </c>
      <c r="AJ16">
        <v>327</v>
      </c>
      <c r="AK16">
        <v>129</v>
      </c>
      <c r="AL16">
        <v>0</v>
      </c>
      <c r="AM16">
        <v>0</v>
      </c>
      <c r="AN16">
        <v>0</v>
      </c>
      <c r="AO16">
        <v>0</v>
      </c>
      <c r="AP16">
        <v>87</v>
      </c>
      <c r="AQ16">
        <v>0</v>
      </c>
      <c r="AR16">
        <v>180</v>
      </c>
      <c r="AS16">
        <v>348</v>
      </c>
      <c r="AT16">
        <v>0</v>
      </c>
      <c r="AU16">
        <v>117</v>
      </c>
      <c r="AV16">
        <v>189</v>
      </c>
      <c r="AW16">
        <v>0</v>
      </c>
      <c r="AX16">
        <v>0</v>
      </c>
      <c r="AY16">
        <v>177</v>
      </c>
      <c r="AZ16">
        <v>0</v>
      </c>
      <c r="BA16">
        <v>198</v>
      </c>
      <c r="BB16">
        <v>0</v>
      </c>
      <c r="BC16">
        <v>333</v>
      </c>
      <c r="BD16">
        <v>1686</v>
      </c>
      <c r="BE16">
        <v>1272</v>
      </c>
      <c r="BF16">
        <v>1527</v>
      </c>
      <c r="BG16">
        <v>0</v>
      </c>
      <c r="BH16">
        <v>231</v>
      </c>
      <c r="BI16">
        <v>0</v>
      </c>
      <c r="BJ16">
        <v>0</v>
      </c>
      <c r="BK16">
        <v>0</v>
      </c>
      <c r="BL16">
        <v>0</v>
      </c>
      <c r="BM16">
        <v>234</v>
      </c>
      <c r="BN16">
        <v>261</v>
      </c>
      <c r="BO16">
        <v>0</v>
      </c>
      <c r="BP16">
        <v>0</v>
      </c>
      <c r="BQ16">
        <v>219</v>
      </c>
      <c r="BR16">
        <v>348</v>
      </c>
      <c r="BS16">
        <v>447</v>
      </c>
      <c r="BT16">
        <v>0</v>
      </c>
      <c r="BU16">
        <v>0</v>
      </c>
    </row>
    <row r="17" spans="1:73" x14ac:dyDescent="0.25">
      <c r="A17" t="s">
        <v>88</v>
      </c>
      <c r="B17">
        <v>687</v>
      </c>
      <c r="C17">
        <v>927</v>
      </c>
      <c r="D17">
        <v>621</v>
      </c>
      <c r="E17">
        <v>357</v>
      </c>
      <c r="F17">
        <v>528</v>
      </c>
      <c r="G17">
        <v>207</v>
      </c>
      <c r="H17">
        <v>411</v>
      </c>
      <c r="I17">
        <v>564</v>
      </c>
      <c r="J17">
        <v>0</v>
      </c>
      <c r="K17">
        <v>0</v>
      </c>
      <c r="L17">
        <v>675</v>
      </c>
      <c r="M17">
        <v>759</v>
      </c>
      <c r="N17">
        <v>1530</v>
      </c>
      <c r="O17">
        <v>318</v>
      </c>
      <c r="P17">
        <v>1143</v>
      </c>
      <c r="Q17">
        <v>279</v>
      </c>
      <c r="R17">
        <v>906</v>
      </c>
      <c r="S17">
        <v>510</v>
      </c>
      <c r="T17">
        <v>1155</v>
      </c>
      <c r="U17">
        <v>351</v>
      </c>
      <c r="V17">
        <v>459</v>
      </c>
      <c r="W17">
        <v>657</v>
      </c>
      <c r="X17">
        <v>723</v>
      </c>
      <c r="Y17">
        <v>327</v>
      </c>
      <c r="Z17">
        <v>0</v>
      </c>
      <c r="AA17">
        <v>0</v>
      </c>
      <c r="AB17">
        <v>1938</v>
      </c>
      <c r="AC17">
        <v>966</v>
      </c>
      <c r="AD17">
        <v>0</v>
      </c>
      <c r="AE17">
        <v>90</v>
      </c>
      <c r="AF17">
        <v>120</v>
      </c>
      <c r="AG17">
        <v>1050</v>
      </c>
      <c r="AH17">
        <v>585</v>
      </c>
      <c r="AI17">
        <v>192</v>
      </c>
      <c r="AJ17">
        <v>951</v>
      </c>
      <c r="AK17">
        <v>0</v>
      </c>
      <c r="AL17">
        <v>171</v>
      </c>
      <c r="AM17">
        <v>0</v>
      </c>
      <c r="AN17">
        <v>0</v>
      </c>
      <c r="AO17">
        <v>0</v>
      </c>
      <c r="AP17">
        <v>126</v>
      </c>
      <c r="AQ17">
        <v>0</v>
      </c>
      <c r="AR17">
        <v>0</v>
      </c>
      <c r="AS17">
        <v>438</v>
      </c>
      <c r="AT17">
        <v>0</v>
      </c>
      <c r="AU17">
        <v>204</v>
      </c>
      <c r="AV17">
        <v>528</v>
      </c>
      <c r="AW17">
        <v>0</v>
      </c>
      <c r="AX17">
        <v>273</v>
      </c>
      <c r="AY17">
        <v>168</v>
      </c>
      <c r="AZ17">
        <v>0</v>
      </c>
      <c r="BA17">
        <v>198</v>
      </c>
      <c r="BB17">
        <v>0</v>
      </c>
      <c r="BC17">
        <v>591</v>
      </c>
      <c r="BD17">
        <v>2220</v>
      </c>
      <c r="BE17">
        <v>1380</v>
      </c>
      <c r="BF17">
        <v>1905</v>
      </c>
      <c r="BG17">
        <v>270</v>
      </c>
      <c r="BH17">
        <v>231</v>
      </c>
      <c r="BI17">
        <v>297</v>
      </c>
      <c r="BJ17">
        <v>117</v>
      </c>
      <c r="BK17">
        <v>0</v>
      </c>
      <c r="BL17">
        <v>234</v>
      </c>
      <c r="BM17">
        <v>264</v>
      </c>
      <c r="BN17">
        <v>492</v>
      </c>
      <c r="BO17">
        <v>528</v>
      </c>
      <c r="BP17">
        <v>600</v>
      </c>
      <c r="BQ17">
        <v>468</v>
      </c>
      <c r="BR17">
        <v>399</v>
      </c>
      <c r="BS17">
        <v>924</v>
      </c>
      <c r="BT17">
        <v>75</v>
      </c>
      <c r="BU17">
        <v>549</v>
      </c>
    </row>
    <row r="18" spans="1:73" x14ac:dyDescent="0.25">
      <c r="A18" t="s">
        <v>89</v>
      </c>
      <c r="B18">
        <v>528</v>
      </c>
      <c r="C18">
        <v>717</v>
      </c>
      <c r="D18">
        <v>1275</v>
      </c>
      <c r="E18">
        <v>381</v>
      </c>
      <c r="F18">
        <v>531</v>
      </c>
      <c r="G18">
        <v>408</v>
      </c>
      <c r="H18">
        <v>546</v>
      </c>
      <c r="I18">
        <v>423</v>
      </c>
      <c r="J18">
        <v>0</v>
      </c>
      <c r="K18">
        <v>0</v>
      </c>
      <c r="L18">
        <v>1056</v>
      </c>
      <c r="M18">
        <v>1005</v>
      </c>
      <c r="N18">
        <v>1530</v>
      </c>
      <c r="O18">
        <v>300</v>
      </c>
      <c r="P18">
        <v>1464</v>
      </c>
      <c r="Q18">
        <v>297</v>
      </c>
      <c r="R18">
        <v>903</v>
      </c>
      <c r="S18">
        <v>522</v>
      </c>
      <c r="T18">
        <v>1161</v>
      </c>
      <c r="U18">
        <v>351</v>
      </c>
      <c r="V18">
        <v>360</v>
      </c>
      <c r="W18">
        <v>714</v>
      </c>
      <c r="X18">
        <v>888</v>
      </c>
      <c r="Y18">
        <v>354</v>
      </c>
      <c r="Z18">
        <v>336</v>
      </c>
      <c r="AA18">
        <v>0</v>
      </c>
      <c r="AB18">
        <v>1950</v>
      </c>
      <c r="AC18">
        <v>1884</v>
      </c>
      <c r="AD18">
        <v>156</v>
      </c>
      <c r="AE18">
        <v>0</v>
      </c>
      <c r="AF18">
        <v>120</v>
      </c>
      <c r="AG18">
        <v>1050</v>
      </c>
      <c r="AH18">
        <v>1344</v>
      </c>
      <c r="AI18">
        <v>1113</v>
      </c>
      <c r="AJ18">
        <v>1026</v>
      </c>
      <c r="AK18">
        <v>243</v>
      </c>
      <c r="AL18">
        <v>162</v>
      </c>
      <c r="AM18">
        <v>0</v>
      </c>
      <c r="AN18">
        <v>0</v>
      </c>
      <c r="AO18">
        <v>99</v>
      </c>
      <c r="AP18">
        <v>0</v>
      </c>
      <c r="AQ18">
        <v>96</v>
      </c>
      <c r="AR18">
        <v>129</v>
      </c>
      <c r="AS18">
        <v>1368</v>
      </c>
      <c r="AT18">
        <v>354</v>
      </c>
      <c r="AU18">
        <v>0</v>
      </c>
      <c r="AV18">
        <v>798</v>
      </c>
      <c r="AW18">
        <v>213</v>
      </c>
      <c r="AX18">
        <v>189</v>
      </c>
      <c r="AY18">
        <v>0</v>
      </c>
      <c r="AZ18">
        <v>123</v>
      </c>
      <c r="BA18">
        <v>153</v>
      </c>
      <c r="BB18">
        <v>105</v>
      </c>
      <c r="BC18">
        <v>969</v>
      </c>
      <c r="BD18">
        <v>2847</v>
      </c>
      <c r="BE18">
        <v>1890</v>
      </c>
      <c r="BF18">
        <v>3123</v>
      </c>
      <c r="BG18">
        <v>408</v>
      </c>
      <c r="BH18">
        <v>231</v>
      </c>
      <c r="BI18">
        <v>0</v>
      </c>
      <c r="BJ18">
        <v>117</v>
      </c>
      <c r="BK18">
        <v>0</v>
      </c>
      <c r="BL18">
        <v>219</v>
      </c>
      <c r="BM18">
        <v>264</v>
      </c>
      <c r="BN18">
        <v>597</v>
      </c>
      <c r="BO18">
        <v>603</v>
      </c>
      <c r="BP18">
        <v>594</v>
      </c>
      <c r="BQ18">
        <v>468</v>
      </c>
      <c r="BR18">
        <v>405</v>
      </c>
      <c r="BS18">
        <v>924</v>
      </c>
      <c r="BT18">
        <v>441</v>
      </c>
      <c r="BU18">
        <v>138</v>
      </c>
    </row>
    <row r="19" spans="1:73" x14ac:dyDescent="0.25">
      <c r="A19" t="s">
        <v>90</v>
      </c>
      <c r="B19">
        <v>663</v>
      </c>
      <c r="C19">
        <v>1389</v>
      </c>
      <c r="D19">
        <v>1470</v>
      </c>
      <c r="E19">
        <v>384</v>
      </c>
      <c r="F19">
        <v>531</v>
      </c>
      <c r="G19">
        <v>729</v>
      </c>
      <c r="H19">
        <v>666</v>
      </c>
      <c r="I19">
        <v>648</v>
      </c>
      <c r="J19">
        <v>0</v>
      </c>
      <c r="K19">
        <v>0</v>
      </c>
      <c r="L19">
        <v>1056</v>
      </c>
      <c r="M19">
        <v>1086</v>
      </c>
      <c r="N19">
        <v>1530</v>
      </c>
      <c r="O19">
        <v>360</v>
      </c>
      <c r="P19">
        <v>1470</v>
      </c>
      <c r="Q19">
        <v>297</v>
      </c>
      <c r="R19">
        <v>1692</v>
      </c>
      <c r="S19">
        <v>510</v>
      </c>
      <c r="T19">
        <v>1155</v>
      </c>
      <c r="U19">
        <v>429</v>
      </c>
      <c r="V19">
        <v>459</v>
      </c>
      <c r="W19">
        <v>843</v>
      </c>
      <c r="X19">
        <v>900</v>
      </c>
      <c r="Y19">
        <v>639</v>
      </c>
      <c r="Z19">
        <v>465</v>
      </c>
      <c r="AA19">
        <v>90</v>
      </c>
      <c r="AB19">
        <v>2244</v>
      </c>
      <c r="AC19">
        <v>2181</v>
      </c>
      <c r="AD19">
        <v>222</v>
      </c>
      <c r="AE19">
        <v>93</v>
      </c>
      <c r="AF19">
        <v>120</v>
      </c>
      <c r="AG19">
        <v>1050</v>
      </c>
      <c r="AH19">
        <v>1515</v>
      </c>
      <c r="AI19">
        <v>1350</v>
      </c>
      <c r="AJ19">
        <v>996</v>
      </c>
      <c r="AK19">
        <v>243</v>
      </c>
      <c r="AL19">
        <v>198</v>
      </c>
      <c r="AM19">
        <v>120</v>
      </c>
      <c r="AN19">
        <v>126</v>
      </c>
      <c r="AO19">
        <v>99</v>
      </c>
      <c r="AP19">
        <v>126</v>
      </c>
      <c r="AQ19">
        <v>96</v>
      </c>
      <c r="AR19">
        <v>180</v>
      </c>
      <c r="AS19">
        <v>1401</v>
      </c>
      <c r="AT19">
        <v>366</v>
      </c>
      <c r="AU19">
        <v>381</v>
      </c>
      <c r="AV19">
        <v>798</v>
      </c>
      <c r="AW19">
        <v>324</v>
      </c>
      <c r="AX19">
        <v>312</v>
      </c>
      <c r="AY19">
        <v>255</v>
      </c>
      <c r="AZ19">
        <v>132</v>
      </c>
      <c r="BA19">
        <v>198</v>
      </c>
      <c r="BB19">
        <v>0</v>
      </c>
      <c r="BC19">
        <v>969</v>
      </c>
      <c r="BD19">
        <v>3174</v>
      </c>
      <c r="BE19">
        <v>2025</v>
      </c>
      <c r="BF19">
        <v>4131</v>
      </c>
      <c r="BG19">
        <v>408</v>
      </c>
      <c r="BH19">
        <v>288</v>
      </c>
      <c r="BI19">
        <v>297</v>
      </c>
      <c r="BJ19">
        <v>117</v>
      </c>
      <c r="BK19">
        <v>0</v>
      </c>
      <c r="BL19">
        <v>234</v>
      </c>
      <c r="BM19">
        <v>264</v>
      </c>
      <c r="BN19">
        <v>705</v>
      </c>
      <c r="BO19">
        <v>621</v>
      </c>
      <c r="BP19">
        <v>600</v>
      </c>
      <c r="BQ19">
        <v>468</v>
      </c>
      <c r="BR19">
        <v>399</v>
      </c>
      <c r="BS19">
        <v>924</v>
      </c>
      <c r="BT19">
        <v>486</v>
      </c>
      <c r="BU19">
        <v>549</v>
      </c>
    </row>
    <row r="20" spans="1:73" x14ac:dyDescent="0.25">
      <c r="A20" t="s">
        <v>91</v>
      </c>
      <c r="B20">
        <v>477</v>
      </c>
      <c r="C20">
        <v>1053</v>
      </c>
      <c r="D20">
        <v>1236</v>
      </c>
      <c r="E20">
        <v>384</v>
      </c>
      <c r="F20">
        <v>399</v>
      </c>
      <c r="G20">
        <v>729</v>
      </c>
      <c r="H20">
        <v>597</v>
      </c>
      <c r="I20">
        <v>390</v>
      </c>
      <c r="J20">
        <v>0</v>
      </c>
      <c r="K20">
        <v>0</v>
      </c>
      <c r="L20">
        <v>1056</v>
      </c>
      <c r="M20">
        <v>1080</v>
      </c>
      <c r="N20">
        <v>1530</v>
      </c>
      <c r="O20">
        <v>360</v>
      </c>
      <c r="P20">
        <v>558</v>
      </c>
      <c r="Q20">
        <v>297</v>
      </c>
      <c r="R20">
        <v>1434</v>
      </c>
      <c r="S20">
        <v>510</v>
      </c>
      <c r="T20">
        <v>1155</v>
      </c>
      <c r="U20">
        <v>429</v>
      </c>
      <c r="V20">
        <v>459</v>
      </c>
      <c r="W20">
        <v>657</v>
      </c>
      <c r="X20">
        <v>813</v>
      </c>
      <c r="Y20">
        <v>234</v>
      </c>
      <c r="Z20">
        <v>465</v>
      </c>
      <c r="AA20">
        <v>87</v>
      </c>
      <c r="AB20">
        <v>1605</v>
      </c>
      <c r="AC20">
        <v>1878</v>
      </c>
      <c r="AD20">
        <v>222</v>
      </c>
      <c r="AE20">
        <v>0</v>
      </c>
      <c r="AF20">
        <v>120</v>
      </c>
      <c r="AG20">
        <v>1050</v>
      </c>
      <c r="AH20">
        <v>771</v>
      </c>
      <c r="AI20">
        <v>639</v>
      </c>
      <c r="AJ20">
        <v>831</v>
      </c>
      <c r="AK20">
        <v>0</v>
      </c>
      <c r="AL20">
        <v>0</v>
      </c>
      <c r="AM20">
        <v>0</v>
      </c>
      <c r="AN20">
        <v>111</v>
      </c>
      <c r="AO20">
        <v>99</v>
      </c>
      <c r="AP20">
        <v>126</v>
      </c>
      <c r="AQ20">
        <v>0</v>
      </c>
      <c r="AR20">
        <v>0</v>
      </c>
      <c r="AS20">
        <v>1104</v>
      </c>
      <c r="AT20">
        <v>0</v>
      </c>
      <c r="AU20">
        <v>0</v>
      </c>
      <c r="AV20">
        <v>666</v>
      </c>
      <c r="AW20">
        <v>0</v>
      </c>
      <c r="AX20">
        <v>312</v>
      </c>
      <c r="AY20">
        <v>255</v>
      </c>
      <c r="AZ20">
        <v>0</v>
      </c>
      <c r="BA20">
        <v>0</v>
      </c>
      <c r="BB20">
        <v>93</v>
      </c>
      <c r="BC20">
        <v>726</v>
      </c>
      <c r="BD20">
        <v>2574</v>
      </c>
      <c r="BE20">
        <v>1647</v>
      </c>
      <c r="BF20">
        <v>3642</v>
      </c>
      <c r="BG20">
        <v>123</v>
      </c>
      <c r="BH20">
        <v>288</v>
      </c>
      <c r="BI20">
        <v>273</v>
      </c>
      <c r="BJ20">
        <v>117</v>
      </c>
      <c r="BK20">
        <v>0</v>
      </c>
      <c r="BL20">
        <v>0</v>
      </c>
      <c r="BM20">
        <v>264</v>
      </c>
      <c r="BN20">
        <v>375</v>
      </c>
      <c r="BO20">
        <v>435</v>
      </c>
      <c r="BP20">
        <v>600</v>
      </c>
      <c r="BQ20">
        <v>468</v>
      </c>
      <c r="BR20">
        <v>366</v>
      </c>
      <c r="BS20">
        <v>924</v>
      </c>
      <c r="BT20">
        <v>336</v>
      </c>
      <c r="BU20">
        <v>0</v>
      </c>
    </row>
    <row r="21" spans="1:73" x14ac:dyDescent="0.25">
      <c r="A21" t="s">
        <v>92</v>
      </c>
      <c r="B21">
        <v>531</v>
      </c>
      <c r="C21">
        <v>804</v>
      </c>
      <c r="D21">
        <v>516</v>
      </c>
      <c r="E21">
        <v>222</v>
      </c>
      <c r="F21">
        <v>243</v>
      </c>
      <c r="G21">
        <v>0</v>
      </c>
      <c r="H21">
        <v>0</v>
      </c>
      <c r="I21">
        <v>117</v>
      </c>
      <c r="J21">
        <v>0</v>
      </c>
      <c r="K21">
        <v>0</v>
      </c>
      <c r="L21">
        <v>183</v>
      </c>
      <c r="M21">
        <v>717</v>
      </c>
      <c r="N21">
        <v>1092</v>
      </c>
      <c r="O21">
        <v>0</v>
      </c>
      <c r="P21">
        <v>504</v>
      </c>
      <c r="Q21">
        <v>108</v>
      </c>
      <c r="R21">
        <v>1203</v>
      </c>
      <c r="S21">
        <v>231</v>
      </c>
      <c r="T21">
        <v>1155</v>
      </c>
      <c r="U21">
        <v>0</v>
      </c>
      <c r="V21">
        <v>0</v>
      </c>
      <c r="W21">
        <v>183</v>
      </c>
      <c r="X21">
        <v>510</v>
      </c>
      <c r="Y21">
        <v>0</v>
      </c>
      <c r="Z21">
        <v>75</v>
      </c>
      <c r="AA21">
        <v>0</v>
      </c>
      <c r="AB21">
        <v>1356</v>
      </c>
      <c r="AC21">
        <v>111</v>
      </c>
      <c r="AD21">
        <v>0</v>
      </c>
      <c r="AE21">
        <v>93</v>
      </c>
      <c r="AF21">
        <v>63</v>
      </c>
      <c r="AG21">
        <v>942</v>
      </c>
      <c r="AH21">
        <v>477</v>
      </c>
      <c r="AI21">
        <v>366</v>
      </c>
      <c r="AJ21">
        <v>0</v>
      </c>
      <c r="AK21">
        <v>120</v>
      </c>
      <c r="AL21">
        <v>105</v>
      </c>
      <c r="AM21">
        <v>0</v>
      </c>
      <c r="AN21">
        <v>0</v>
      </c>
      <c r="AO21">
        <v>0</v>
      </c>
      <c r="AP21">
        <v>0</v>
      </c>
      <c r="AQ21">
        <v>96</v>
      </c>
      <c r="AR21">
        <v>0</v>
      </c>
      <c r="AS21">
        <v>0</v>
      </c>
      <c r="AT21">
        <v>363</v>
      </c>
      <c r="AU21">
        <v>249</v>
      </c>
      <c r="AV21">
        <v>372</v>
      </c>
      <c r="AW21">
        <v>270</v>
      </c>
      <c r="AX21">
        <v>0</v>
      </c>
      <c r="AY21">
        <v>0</v>
      </c>
      <c r="AZ21">
        <v>0</v>
      </c>
      <c r="BA21">
        <v>0</v>
      </c>
      <c r="BB21">
        <v>0</v>
      </c>
      <c r="BC21">
        <v>0</v>
      </c>
      <c r="BD21">
        <v>1566</v>
      </c>
      <c r="BE21">
        <v>1158</v>
      </c>
      <c r="BF21">
        <v>1545</v>
      </c>
      <c r="BG21">
        <v>162</v>
      </c>
      <c r="BH21">
        <v>186</v>
      </c>
      <c r="BI21">
        <v>186</v>
      </c>
      <c r="BJ21">
        <v>117</v>
      </c>
      <c r="BK21">
        <v>0</v>
      </c>
      <c r="BL21">
        <v>0</v>
      </c>
      <c r="BM21">
        <v>0</v>
      </c>
      <c r="BN21">
        <v>273</v>
      </c>
      <c r="BO21">
        <v>552</v>
      </c>
      <c r="BP21">
        <v>336</v>
      </c>
      <c r="BQ21">
        <v>0</v>
      </c>
      <c r="BR21">
        <v>207</v>
      </c>
      <c r="BS21">
        <v>552</v>
      </c>
      <c r="BT21">
        <v>432</v>
      </c>
      <c r="BU21">
        <v>0</v>
      </c>
    </row>
    <row r="22" spans="1:73" x14ac:dyDescent="0.25">
      <c r="A22" t="s">
        <v>93</v>
      </c>
      <c r="B22">
        <v>660</v>
      </c>
      <c r="C22">
        <v>1464</v>
      </c>
      <c r="D22">
        <v>1464</v>
      </c>
      <c r="E22">
        <v>384</v>
      </c>
      <c r="F22">
        <v>540</v>
      </c>
      <c r="G22">
        <v>741</v>
      </c>
      <c r="H22">
        <v>204</v>
      </c>
      <c r="I22">
        <v>570</v>
      </c>
      <c r="J22">
        <v>573</v>
      </c>
      <c r="K22">
        <v>174</v>
      </c>
      <c r="L22">
        <v>711</v>
      </c>
      <c r="M22">
        <v>1080</v>
      </c>
      <c r="N22">
        <v>1527</v>
      </c>
      <c r="O22">
        <v>357</v>
      </c>
      <c r="P22">
        <v>0</v>
      </c>
      <c r="Q22">
        <v>84</v>
      </c>
      <c r="R22">
        <v>1794</v>
      </c>
      <c r="S22">
        <v>0</v>
      </c>
      <c r="T22">
        <v>1152</v>
      </c>
      <c r="U22">
        <v>435</v>
      </c>
      <c r="V22">
        <v>459</v>
      </c>
      <c r="W22">
        <v>660</v>
      </c>
      <c r="X22">
        <v>900</v>
      </c>
      <c r="Y22">
        <v>639</v>
      </c>
      <c r="Z22">
        <v>465</v>
      </c>
      <c r="AA22">
        <v>0</v>
      </c>
      <c r="AB22">
        <v>2178</v>
      </c>
      <c r="AC22">
        <v>2181</v>
      </c>
      <c r="AD22">
        <v>222</v>
      </c>
      <c r="AE22">
        <v>96</v>
      </c>
      <c r="AF22">
        <v>111</v>
      </c>
      <c r="AG22">
        <v>1050</v>
      </c>
      <c r="AH22">
        <v>1515</v>
      </c>
      <c r="AI22">
        <v>1350</v>
      </c>
      <c r="AJ22">
        <v>1059</v>
      </c>
      <c r="AK22">
        <v>243</v>
      </c>
      <c r="AL22">
        <v>0</v>
      </c>
      <c r="AM22">
        <v>120</v>
      </c>
      <c r="AN22">
        <v>123</v>
      </c>
      <c r="AO22">
        <v>99</v>
      </c>
      <c r="AP22">
        <v>126</v>
      </c>
      <c r="AQ22">
        <v>96</v>
      </c>
      <c r="AR22">
        <v>180</v>
      </c>
      <c r="AS22">
        <v>1401</v>
      </c>
      <c r="AT22">
        <v>366</v>
      </c>
      <c r="AU22">
        <v>390</v>
      </c>
      <c r="AV22">
        <v>750</v>
      </c>
      <c r="AW22">
        <v>171</v>
      </c>
      <c r="AX22">
        <v>303</v>
      </c>
      <c r="AY22">
        <v>267</v>
      </c>
      <c r="AZ22">
        <v>108</v>
      </c>
      <c r="BA22">
        <v>0</v>
      </c>
      <c r="BB22">
        <v>93</v>
      </c>
      <c r="BC22">
        <v>930</v>
      </c>
      <c r="BD22">
        <v>894</v>
      </c>
      <c r="BE22">
        <v>405</v>
      </c>
      <c r="BF22">
        <v>2340</v>
      </c>
      <c r="BG22">
        <v>408</v>
      </c>
      <c r="BH22">
        <v>309</v>
      </c>
      <c r="BI22">
        <v>297</v>
      </c>
      <c r="BJ22">
        <v>0</v>
      </c>
      <c r="BK22">
        <v>0</v>
      </c>
      <c r="BL22">
        <v>189</v>
      </c>
      <c r="BM22">
        <v>261</v>
      </c>
      <c r="BN22">
        <v>696</v>
      </c>
      <c r="BO22">
        <v>615</v>
      </c>
      <c r="BP22">
        <v>600</v>
      </c>
      <c r="BQ22">
        <v>462</v>
      </c>
      <c r="BR22">
        <v>387</v>
      </c>
      <c r="BS22">
        <v>0</v>
      </c>
      <c r="BT22">
        <v>501</v>
      </c>
      <c r="BU22">
        <v>549</v>
      </c>
    </row>
    <row r="23" spans="1:73" x14ac:dyDescent="0.25">
      <c r="A23" t="s">
        <v>94</v>
      </c>
      <c r="B23">
        <v>660</v>
      </c>
      <c r="C23">
        <v>1464</v>
      </c>
      <c r="D23">
        <v>1470</v>
      </c>
      <c r="E23">
        <v>384</v>
      </c>
      <c r="F23">
        <v>540</v>
      </c>
      <c r="G23">
        <v>741</v>
      </c>
      <c r="H23">
        <v>0</v>
      </c>
      <c r="I23">
        <v>237</v>
      </c>
      <c r="J23">
        <v>573</v>
      </c>
      <c r="K23">
        <v>171</v>
      </c>
      <c r="L23">
        <v>999</v>
      </c>
      <c r="M23">
        <v>1080</v>
      </c>
      <c r="N23">
        <v>1527</v>
      </c>
      <c r="O23">
        <v>357</v>
      </c>
      <c r="P23">
        <v>0</v>
      </c>
      <c r="Q23">
        <v>165</v>
      </c>
      <c r="R23">
        <v>384</v>
      </c>
      <c r="S23">
        <v>0</v>
      </c>
      <c r="T23">
        <v>1152</v>
      </c>
      <c r="U23">
        <v>435</v>
      </c>
      <c r="V23">
        <v>459</v>
      </c>
      <c r="W23">
        <v>837</v>
      </c>
      <c r="X23">
        <v>846</v>
      </c>
      <c r="Y23">
        <v>639</v>
      </c>
      <c r="Z23">
        <v>465</v>
      </c>
      <c r="AA23">
        <v>0</v>
      </c>
      <c r="AB23">
        <v>2235</v>
      </c>
      <c r="AC23">
        <v>2181</v>
      </c>
      <c r="AD23">
        <v>222</v>
      </c>
      <c r="AE23">
        <v>96</v>
      </c>
      <c r="AF23">
        <v>111</v>
      </c>
      <c r="AG23">
        <v>1050</v>
      </c>
      <c r="AH23">
        <v>1515</v>
      </c>
      <c r="AI23">
        <v>1350</v>
      </c>
      <c r="AJ23">
        <v>1059</v>
      </c>
      <c r="AK23">
        <v>243</v>
      </c>
      <c r="AL23">
        <v>0</v>
      </c>
      <c r="AM23">
        <v>120</v>
      </c>
      <c r="AN23">
        <v>123</v>
      </c>
      <c r="AO23">
        <v>99</v>
      </c>
      <c r="AP23">
        <v>126</v>
      </c>
      <c r="AQ23">
        <v>96</v>
      </c>
      <c r="AR23">
        <v>180</v>
      </c>
      <c r="AS23">
        <v>1410</v>
      </c>
      <c r="AT23">
        <v>366</v>
      </c>
      <c r="AU23">
        <v>390</v>
      </c>
      <c r="AV23">
        <v>750</v>
      </c>
      <c r="AW23">
        <v>279</v>
      </c>
      <c r="AX23">
        <v>303</v>
      </c>
      <c r="AY23">
        <v>267</v>
      </c>
      <c r="AZ23">
        <v>108</v>
      </c>
      <c r="BA23">
        <v>0</v>
      </c>
      <c r="BB23">
        <v>93</v>
      </c>
      <c r="BC23">
        <v>720</v>
      </c>
      <c r="BD23">
        <v>468</v>
      </c>
      <c r="BE23">
        <v>324</v>
      </c>
      <c r="BF23">
        <v>3030</v>
      </c>
      <c r="BG23">
        <v>408</v>
      </c>
      <c r="BH23">
        <v>309</v>
      </c>
      <c r="BI23">
        <v>297</v>
      </c>
      <c r="BJ23">
        <v>117</v>
      </c>
      <c r="BK23">
        <v>0</v>
      </c>
      <c r="BL23">
        <v>255</v>
      </c>
      <c r="BM23">
        <v>261</v>
      </c>
      <c r="BN23">
        <v>672</v>
      </c>
      <c r="BO23">
        <v>615</v>
      </c>
      <c r="BP23">
        <v>600</v>
      </c>
      <c r="BQ23">
        <v>462</v>
      </c>
      <c r="BR23">
        <v>387</v>
      </c>
      <c r="BS23">
        <v>246</v>
      </c>
      <c r="BT23">
        <v>501</v>
      </c>
      <c r="BU23">
        <v>549</v>
      </c>
    </row>
    <row r="24" spans="1:73" x14ac:dyDescent="0.25">
      <c r="A24" t="s">
        <v>95</v>
      </c>
      <c r="B24">
        <v>0</v>
      </c>
      <c r="C24">
        <v>1446</v>
      </c>
      <c r="D24">
        <v>1464</v>
      </c>
      <c r="E24">
        <v>384</v>
      </c>
      <c r="F24">
        <v>531</v>
      </c>
      <c r="G24">
        <v>729</v>
      </c>
      <c r="H24">
        <v>0</v>
      </c>
      <c r="I24">
        <v>648</v>
      </c>
      <c r="J24">
        <v>0</v>
      </c>
      <c r="K24">
        <v>180</v>
      </c>
      <c r="L24">
        <v>927</v>
      </c>
      <c r="M24">
        <v>1080</v>
      </c>
      <c r="N24">
        <v>150</v>
      </c>
      <c r="O24">
        <v>360</v>
      </c>
      <c r="P24">
        <v>1419</v>
      </c>
      <c r="Q24">
        <v>297</v>
      </c>
      <c r="R24">
        <v>1434</v>
      </c>
      <c r="S24">
        <v>522</v>
      </c>
      <c r="T24">
        <v>1161</v>
      </c>
      <c r="U24">
        <v>420</v>
      </c>
      <c r="V24">
        <v>459</v>
      </c>
      <c r="W24">
        <v>846</v>
      </c>
      <c r="X24">
        <v>900</v>
      </c>
      <c r="Y24">
        <v>639</v>
      </c>
      <c r="Z24">
        <v>465</v>
      </c>
      <c r="AA24">
        <v>90</v>
      </c>
      <c r="AB24">
        <v>2244</v>
      </c>
      <c r="AC24">
        <v>2181</v>
      </c>
      <c r="AD24">
        <v>222</v>
      </c>
      <c r="AE24">
        <v>0</v>
      </c>
      <c r="AF24">
        <v>120</v>
      </c>
      <c r="AG24">
        <v>1050</v>
      </c>
      <c r="AH24">
        <v>1515</v>
      </c>
      <c r="AI24">
        <v>1350</v>
      </c>
      <c r="AJ24">
        <v>1059</v>
      </c>
      <c r="AK24">
        <v>243</v>
      </c>
      <c r="AL24">
        <v>198</v>
      </c>
      <c r="AM24">
        <v>120</v>
      </c>
      <c r="AN24">
        <v>117</v>
      </c>
      <c r="AO24">
        <v>99</v>
      </c>
      <c r="AP24">
        <v>0</v>
      </c>
      <c r="AQ24">
        <v>90</v>
      </c>
      <c r="AR24">
        <v>177</v>
      </c>
      <c r="AS24">
        <v>1401</v>
      </c>
      <c r="AT24">
        <v>366</v>
      </c>
      <c r="AU24">
        <v>381</v>
      </c>
      <c r="AV24">
        <v>750</v>
      </c>
      <c r="AW24">
        <v>339</v>
      </c>
      <c r="AX24">
        <v>309</v>
      </c>
      <c r="AY24">
        <v>264</v>
      </c>
      <c r="AZ24">
        <v>0</v>
      </c>
      <c r="BA24">
        <v>198</v>
      </c>
      <c r="BB24">
        <v>105</v>
      </c>
      <c r="BC24">
        <v>969</v>
      </c>
      <c r="BD24">
        <v>1767</v>
      </c>
      <c r="BE24">
        <v>2022</v>
      </c>
      <c r="BF24">
        <v>4098</v>
      </c>
      <c r="BG24">
        <v>408</v>
      </c>
      <c r="BH24">
        <v>288</v>
      </c>
      <c r="BI24">
        <v>297</v>
      </c>
      <c r="BJ24">
        <v>117</v>
      </c>
      <c r="BK24">
        <v>0</v>
      </c>
      <c r="BL24">
        <v>222</v>
      </c>
      <c r="BM24">
        <v>243</v>
      </c>
      <c r="BN24">
        <v>711</v>
      </c>
      <c r="BO24">
        <v>621</v>
      </c>
      <c r="BP24">
        <v>600</v>
      </c>
      <c r="BQ24">
        <v>468</v>
      </c>
      <c r="BR24">
        <v>399</v>
      </c>
      <c r="BS24">
        <v>816</v>
      </c>
      <c r="BT24">
        <v>486</v>
      </c>
      <c r="BU24">
        <v>549</v>
      </c>
    </row>
    <row r="25" spans="1:73" x14ac:dyDescent="0.25">
      <c r="A25" t="s">
        <v>96</v>
      </c>
      <c r="B25">
        <v>0</v>
      </c>
      <c r="C25">
        <v>1446</v>
      </c>
      <c r="D25">
        <v>1464</v>
      </c>
      <c r="E25">
        <v>384</v>
      </c>
      <c r="F25">
        <v>531</v>
      </c>
      <c r="G25">
        <v>729</v>
      </c>
      <c r="H25">
        <v>0</v>
      </c>
      <c r="I25">
        <v>648</v>
      </c>
      <c r="J25">
        <v>0</v>
      </c>
      <c r="K25">
        <v>180</v>
      </c>
      <c r="L25">
        <v>1056</v>
      </c>
      <c r="M25">
        <v>1080</v>
      </c>
      <c r="N25">
        <v>150</v>
      </c>
      <c r="O25">
        <v>360</v>
      </c>
      <c r="P25">
        <v>1392</v>
      </c>
      <c r="Q25">
        <v>297</v>
      </c>
      <c r="R25">
        <v>1434</v>
      </c>
      <c r="S25">
        <v>522</v>
      </c>
      <c r="T25">
        <v>1161</v>
      </c>
      <c r="U25">
        <v>420</v>
      </c>
      <c r="V25">
        <v>459</v>
      </c>
      <c r="W25">
        <v>846</v>
      </c>
      <c r="X25">
        <v>900</v>
      </c>
      <c r="Y25">
        <v>639</v>
      </c>
      <c r="Z25">
        <v>465</v>
      </c>
      <c r="AA25">
        <v>90</v>
      </c>
      <c r="AB25">
        <v>2244</v>
      </c>
      <c r="AC25">
        <v>2181</v>
      </c>
      <c r="AD25">
        <v>222</v>
      </c>
      <c r="AE25">
        <v>0</v>
      </c>
      <c r="AF25">
        <v>120</v>
      </c>
      <c r="AG25">
        <v>1050</v>
      </c>
      <c r="AH25">
        <v>1515</v>
      </c>
      <c r="AI25">
        <v>1350</v>
      </c>
      <c r="AJ25">
        <v>1059</v>
      </c>
      <c r="AK25">
        <v>243</v>
      </c>
      <c r="AL25">
        <v>171</v>
      </c>
      <c r="AM25">
        <v>0</v>
      </c>
      <c r="AN25">
        <v>117</v>
      </c>
      <c r="AO25">
        <v>99</v>
      </c>
      <c r="AP25">
        <v>126</v>
      </c>
      <c r="AQ25">
        <v>96</v>
      </c>
      <c r="AR25">
        <v>180</v>
      </c>
      <c r="AS25">
        <v>1401</v>
      </c>
      <c r="AT25">
        <v>366</v>
      </c>
      <c r="AU25">
        <v>387</v>
      </c>
      <c r="AV25">
        <v>750</v>
      </c>
      <c r="AW25">
        <v>339</v>
      </c>
      <c r="AX25">
        <v>309</v>
      </c>
      <c r="AY25">
        <v>222</v>
      </c>
      <c r="AZ25">
        <v>0</v>
      </c>
      <c r="BA25">
        <v>198</v>
      </c>
      <c r="BB25">
        <v>93</v>
      </c>
      <c r="BC25">
        <v>969</v>
      </c>
      <c r="BD25">
        <v>564</v>
      </c>
      <c r="BE25">
        <v>2022</v>
      </c>
      <c r="BF25">
        <v>4098</v>
      </c>
      <c r="BG25">
        <v>408</v>
      </c>
      <c r="BH25">
        <v>288</v>
      </c>
      <c r="BI25">
        <v>297</v>
      </c>
      <c r="BJ25">
        <v>117</v>
      </c>
      <c r="BK25">
        <v>0</v>
      </c>
      <c r="BL25">
        <v>210</v>
      </c>
      <c r="BM25">
        <v>243</v>
      </c>
      <c r="BN25">
        <v>687</v>
      </c>
      <c r="BO25">
        <v>621</v>
      </c>
      <c r="BP25">
        <v>600</v>
      </c>
      <c r="BQ25">
        <v>468</v>
      </c>
      <c r="BR25">
        <v>399</v>
      </c>
      <c r="BS25">
        <v>543</v>
      </c>
      <c r="BT25">
        <v>486</v>
      </c>
      <c r="BU25">
        <v>549</v>
      </c>
    </row>
    <row r="26" spans="1:73" x14ac:dyDescent="0.25">
      <c r="A26" t="s">
        <v>97</v>
      </c>
      <c r="B26">
        <v>663</v>
      </c>
      <c r="C26">
        <v>1464</v>
      </c>
      <c r="D26">
        <v>1464</v>
      </c>
      <c r="E26">
        <v>384</v>
      </c>
      <c r="F26">
        <v>540</v>
      </c>
      <c r="G26">
        <v>741</v>
      </c>
      <c r="H26">
        <v>672</v>
      </c>
      <c r="I26">
        <v>654</v>
      </c>
      <c r="J26">
        <v>585</v>
      </c>
      <c r="K26">
        <v>171</v>
      </c>
      <c r="L26">
        <v>969</v>
      </c>
      <c r="M26">
        <v>1077</v>
      </c>
      <c r="N26">
        <v>1500</v>
      </c>
      <c r="O26">
        <v>357</v>
      </c>
      <c r="P26">
        <v>1485</v>
      </c>
      <c r="Q26">
        <v>291</v>
      </c>
      <c r="R26">
        <v>1932</v>
      </c>
      <c r="S26">
        <v>522</v>
      </c>
      <c r="T26">
        <v>1140</v>
      </c>
      <c r="U26">
        <v>459</v>
      </c>
      <c r="V26">
        <v>465</v>
      </c>
      <c r="W26">
        <v>810</v>
      </c>
      <c r="X26">
        <v>900</v>
      </c>
      <c r="Y26">
        <v>624</v>
      </c>
      <c r="Z26">
        <v>465</v>
      </c>
      <c r="AA26">
        <v>90</v>
      </c>
      <c r="AB26">
        <v>2244</v>
      </c>
      <c r="AC26">
        <v>2181</v>
      </c>
      <c r="AD26">
        <v>222</v>
      </c>
      <c r="AE26">
        <v>93</v>
      </c>
      <c r="AF26">
        <v>120</v>
      </c>
      <c r="AG26">
        <v>1050</v>
      </c>
      <c r="AH26">
        <v>1515</v>
      </c>
      <c r="AI26">
        <v>1350</v>
      </c>
      <c r="AJ26">
        <v>1059</v>
      </c>
      <c r="AK26">
        <v>243</v>
      </c>
      <c r="AL26">
        <v>195</v>
      </c>
      <c r="AM26">
        <v>120</v>
      </c>
      <c r="AN26">
        <v>87</v>
      </c>
      <c r="AO26">
        <v>99</v>
      </c>
      <c r="AP26">
        <v>126</v>
      </c>
      <c r="AQ26">
        <v>84</v>
      </c>
      <c r="AR26">
        <v>180</v>
      </c>
      <c r="AS26">
        <v>1410</v>
      </c>
      <c r="AT26">
        <v>366</v>
      </c>
      <c r="AU26">
        <v>390</v>
      </c>
      <c r="AV26">
        <v>594</v>
      </c>
      <c r="AW26">
        <v>339</v>
      </c>
      <c r="AX26">
        <v>288</v>
      </c>
      <c r="AY26">
        <v>0</v>
      </c>
      <c r="AZ26">
        <v>132</v>
      </c>
      <c r="BA26">
        <v>198</v>
      </c>
      <c r="BB26">
        <v>105</v>
      </c>
      <c r="BC26">
        <v>966</v>
      </c>
      <c r="BD26">
        <v>297</v>
      </c>
      <c r="BE26">
        <v>1128</v>
      </c>
      <c r="BF26">
        <v>1017</v>
      </c>
      <c r="BG26">
        <v>366</v>
      </c>
      <c r="BH26">
        <v>309</v>
      </c>
      <c r="BI26">
        <v>297</v>
      </c>
      <c r="BJ26">
        <v>117</v>
      </c>
      <c r="BK26">
        <v>231</v>
      </c>
      <c r="BL26">
        <v>288</v>
      </c>
      <c r="BM26">
        <v>261</v>
      </c>
      <c r="BN26">
        <v>363</v>
      </c>
      <c r="BO26">
        <v>618</v>
      </c>
      <c r="BP26">
        <v>600</v>
      </c>
      <c r="BQ26">
        <v>462</v>
      </c>
      <c r="BR26">
        <v>399</v>
      </c>
      <c r="BS26">
        <v>0</v>
      </c>
      <c r="BT26">
        <v>378</v>
      </c>
      <c r="BU26">
        <v>543</v>
      </c>
    </row>
    <row r="27" spans="1:73" x14ac:dyDescent="0.25">
      <c r="A27" t="s">
        <v>98</v>
      </c>
      <c r="B27">
        <v>639</v>
      </c>
      <c r="C27">
        <v>1440</v>
      </c>
      <c r="D27">
        <v>1413</v>
      </c>
      <c r="E27">
        <v>384</v>
      </c>
      <c r="F27">
        <v>531</v>
      </c>
      <c r="G27">
        <v>729</v>
      </c>
      <c r="H27">
        <v>666</v>
      </c>
      <c r="I27">
        <v>651</v>
      </c>
      <c r="J27">
        <v>0</v>
      </c>
      <c r="K27">
        <v>171</v>
      </c>
      <c r="L27">
        <v>1080</v>
      </c>
      <c r="M27">
        <v>1080</v>
      </c>
      <c r="N27">
        <v>1404</v>
      </c>
      <c r="O27">
        <v>360</v>
      </c>
      <c r="P27">
        <v>1470</v>
      </c>
      <c r="Q27">
        <v>282</v>
      </c>
      <c r="R27">
        <v>204</v>
      </c>
      <c r="S27">
        <v>0</v>
      </c>
      <c r="T27">
        <v>1161</v>
      </c>
      <c r="U27">
        <v>420</v>
      </c>
      <c r="V27">
        <v>459</v>
      </c>
      <c r="W27">
        <v>819</v>
      </c>
      <c r="X27">
        <v>900</v>
      </c>
      <c r="Y27">
        <v>639</v>
      </c>
      <c r="Z27">
        <v>366</v>
      </c>
      <c r="AA27">
        <v>90</v>
      </c>
      <c r="AB27">
        <v>2244</v>
      </c>
      <c r="AC27">
        <v>2181</v>
      </c>
      <c r="AD27">
        <v>222</v>
      </c>
      <c r="AE27">
        <v>93</v>
      </c>
      <c r="AF27">
        <v>120</v>
      </c>
      <c r="AG27">
        <v>1050</v>
      </c>
      <c r="AH27">
        <v>1515</v>
      </c>
      <c r="AI27">
        <v>1350</v>
      </c>
      <c r="AJ27">
        <v>1059</v>
      </c>
      <c r="AK27">
        <v>243</v>
      </c>
      <c r="AL27">
        <v>171</v>
      </c>
      <c r="AM27">
        <v>120</v>
      </c>
      <c r="AN27">
        <v>126</v>
      </c>
      <c r="AO27">
        <v>99</v>
      </c>
      <c r="AP27">
        <v>126</v>
      </c>
      <c r="AQ27">
        <v>96</v>
      </c>
      <c r="AR27">
        <v>171</v>
      </c>
      <c r="AS27">
        <v>1401</v>
      </c>
      <c r="AT27">
        <v>366</v>
      </c>
      <c r="AU27">
        <v>387</v>
      </c>
      <c r="AV27">
        <v>735</v>
      </c>
      <c r="AW27">
        <v>306</v>
      </c>
      <c r="AX27">
        <v>309</v>
      </c>
      <c r="AY27">
        <v>258</v>
      </c>
      <c r="AZ27">
        <v>120</v>
      </c>
      <c r="BA27">
        <v>198</v>
      </c>
      <c r="BB27">
        <v>93</v>
      </c>
      <c r="BC27">
        <v>921</v>
      </c>
      <c r="BD27">
        <v>978</v>
      </c>
      <c r="BE27">
        <v>2034</v>
      </c>
      <c r="BF27">
        <v>4125</v>
      </c>
      <c r="BG27">
        <v>333</v>
      </c>
      <c r="BH27">
        <v>297</v>
      </c>
      <c r="BI27">
        <v>297</v>
      </c>
      <c r="BJ27">
        <v>117</v>
      </c>
      <c r="BK27">
        <v>0</v>
      </c>
      <c r="BL27">
        <v>228</v>
      </c>
      <c r="BM27">
        <v>261</v>
      </c>
      <c r="BN27">
        <v>705</v>
      </c>
      <c r="BO27">
        <v>606</v>
      </c>
      <c r="BP27">
        <v>489</v>
      </c>
      <c r="BQ27">
        <v>465</v>
      </c>
      <c r="BR27">
        <v>399</v>
      </c>
      <c r="BS27">
        <v>0</v>
      </c>
      <c r="BT27">
        <v>486</v>
      </c>
      <c r="BU27">
        <v>549</v>
      </c>
    </row>
    <row r="28" spans="1:73" x14ac:dyDescent="0.25">
      <c r="A28" t="s">
        <v>99</v>
      </c>
      <c r="B28">
        <v>663</v>
      </c>
      <c r="C28">
        <v>1449</v>
      </c>
      <c r="D28">
        <v>1446</v>
      </c>
      <c r="E28">
        <v>384</v>
      </c>
      <c r="F28">
        <v>525</v>
      </c>
      <c r="G28">
        <v>729</v>
      </c>
      <c r="H28">
        <v>675</v>
      </c>
      <c r="I28">
        <v>654</v>
      </c>
      <c r="J28">
        <v>513</v>
      </c>
      <c r="K28">
        <v>171</v>
      </c>
      <c r="L28">
        <v>1056</v>
      </c>
      <c r="M28">
        <v>1080</v>
      </c>
      <c r="N28">
        <v>1530</v>
      </c>
      <c r="O28">
        <v>357</v>
      </c>
      <c r="P28">
        <v>1470</v>
      </c>
      <c r="Q28">
        <v>297</v>
      </c>
      <c r="R28">
        <v>1941</v>
      </c>
      <c r="S28">
        <v>522</v>
      </c>
      <c r="T28">
        <v>1149</v>
      </c>
      <c r="U28">
        <v>429</v>
      </c>
      <c r="V28">
        <v>459</v>
      </c>
      <c r="W28">
        <v>843</v>
      </c>
      <c r="X28">
        <v>900</v>
      </c>
      <c r="Y28">
        <v>639</v>
      </c>
      <c r="Z28">
        <v>465</v>
      </c>
      <c r="AA28">
        <v>90</v>
      </c>
      <c r="AB28">
        <v>2244</v>
      </c>
      <c r="AC28">
        <v>2181</v>
      </c>
      <c r="AD28">
        <v>222</v>
      </c>
      <c r="AE28">
        <v>93</v>
      </c>
      <c r="AF28">
        <v>120</v>
      </c>
      <c r="AG28">
        <v>1050</v>
      </c>
      <c r="AH28">
        <v>1515</v>
      </c>
      <c r="AI28">
        <v>1350</v>
      </c>
      <c r="AJ28">
        <v>1059</v>
      </c>
      <c r="AK28">
        <v>243</v>
      </c>
      <c r="AL28">
        <v>171</v>
      </c>
      <c r="AM28">
        <v>120</v>
      </c>
      <c r="AN28">
        <v>126</v>
      </c>
      <c r="AO28">
        <v>99</v>
      </c>
      <c r="AP28">
        <v>126</v>
      </c>
      <c r="AQ28">
        <v>96</v>
      </c>
      <c r="AR28">
        <v>180</v>
      </c>
      <c r="AS28">
        <v>1401</v>
      </c>
      <c r="AT28">
        <v>366</v>
      </c>
      <c r="AU28">
        <v>387</v>
      </c>
      <c r="AV28">
        <v>759</v>
      </c>
      <c r="AW28">
        <v>339</v>
      </c>
      <c r="AX28">
        <v>309</v>
      </c>
      <c r="AY28">
        <v>267</v>
      </c>
      <c r="AZ28">
        <v>0</v>
      </c>
      <c r="BA28">
        <v>198</v>
      </c>
      <c r="BB28">
        <v>105</v>
      </c>
      <c r="BC28">
        <v>975</v>
      </c>
      <c r="BD28">
        <v>3186</v>
      </c>
      <c r="BE28">
        <v>2016</v>
      </c>
      <c r="BF28">
        <v>4128</v>
      </c>
      <c r="BG28">
        <v>408</v>
      </c>
      <c r="BH28">
        <v>309</v>
      </c>
      <c r="BI28">
        <v>297</v>
      </c>
      <c r="BJ28">
        <v>117</v>
      </c>
      <c r="BK28">
        <v>0</v>
      </c>
      <c r="BL28">
        <v>294</v>
      </c>
      <c r="BM28">
        <v>261</v>
      </c>
      <c r="BN28">
        <v>705</v>
      </c>
      <c r="BO28">
        <v>621</v>
      </c>
      <c r="BP28">
        <v>600</v>
      </c>
      <c r="BQ28">
        <v>462</v>
      </c>
      <c r="BR28">
        <v>399</v>
      </c>
      <c r="BS28">
        <v>924</v>
      </c>
      <c r="BT28">
        <v>486</v>
      </c>
      <c r="BU28">
        <v>549</v>
      </c>
    </row>
    <row r="29" spans="1:73" x14ac:dyDescent="0.25">
      <c r="A29" t="s">
        <v>100</v>
      </c>
      <c r="B29">
        <v>663</v>
      </c>
      <c r="C29">
        <v>1449</v>
      </c>
      <c r="D29">
        <v>1464</v>
      </c>
      <c r="E29">
        <v>333</v>
      </c>
      <c r="F29">
        <v>531</v>
      </c>
      <c r="G29">
        <v>729</v>
      </c>
      <c r="H29">
        <v>678</v>
      </c>
      <c r="I29">
        <v>654</v>
      </c>
      <c r="J29">
        <v>513</v>
      </c>
      <c r="K29">
        <v>171</v>
      </c>
      <c r="L29">
        <v>1056</v>
      </c>
      <c r="M29">
        <v>1080</v>
      </c>
      <c r="N29">
        <v>1530</v>
      </c>
      <c r="O29">
        <v>357</v>
      </c>
      <c r="P29">
        <v>1170</v>
      </c>
      <c r="Q29">
        <v>291</v>
      </c>
      <c r="R29">
        <v>1980</v>
      </c>
      <c r="S29">
        <v>522</v>
      </c>
      <c r="T29">
        <v>1149</v>
      </c>
      <c r="U29">
        <v>429</v>
      </c>
      <c r="V29">
        <v>459</v>
      </c>
      <c r="W29">
        <v>843</v>
      </c>
      <c r="X29">
        <v>900</v>
      </c>
      <c r="Y29">
        <v>639</v>
      </c>
      <c r="Z29">
        <v>465</v>
      </c>
      <c r="AA29">
        <v>90</v>
      </c>
      <c r="AB29">
        <v>2244</v>
      </c>
      <c r="AC29">
        <v>2181</v>
      </c>
      <c r="AD29">
        <v>222</v>
      </c>
      <c r="AE29">
        <v>93</v>
      </c>
      <c r="AF29">
        <v>120</v>
      </c>
      <c r="AG29">
        <v>1050</v>
      </c>
      <c r="AH29">
        <v>1515</v>
      </c>
      <c r="AI29">
        <v>1350</v>
      </c>
      <c r="AJ29">
        <v>1059</v>
      </c>
      <c r="AK29">
        <v>243</v>
      </c>
      <c r="AL29">
        <v>198</v>
      </c>
      <c r="AM29">
        <v>120</v>
      </c>
      <c r="AN29">
        <v>126</v>
      </c>
      <c r="AO29">
        <v>99</v>
      </c>
      <c r="AP29">
        <v>126</v>
      </c>
      <c r="AQ29">
        <v>96</v>
      </c>
      <c r="AR29">
        <v>180</v>
      </c>
      <c r="AS29">
        <v>1401</v>
      </c>
      <c r="AT29">
        <v>366</v>
      </c>
      <c r="AU29">
        <v>387</v>
      </c>
      <c r="AV29">
        <v>759</v>
      </c>
      <c r="AW29">
        <v>312</v>
      </c>
      <c r="AX29">
        <v>312</v>
      </c>
      <c r="AY29">
        <v>264</v>
      </c>
      <c r="AZ29">
        <v>0</v>
      </c>
      <c r="BA29">
        <v>198</v>
      </c>
      <c r="BB29">
        <v>93</v>
      </c>
      <c r="BC29">
        <v>975</v>
      </c>
      <c r="BD29">
        <v>3186</v>
      </c>
      <c r="BE29">
        <v>2025</v>
      </c>
      <c r="BF29">
        <v>4125</v>
      </c>
      <c r="BG29">
        <v>408</v>
      </c>
      <c r="BH29">
        <v>306</v>
      </c>
      <c r="BI29">
        <v>297</v>
      </c>
      <c r="BJ29">
        <v>117</v>
      </c>
      <c r="BK29">
        <v>0</v>
      </c>
      <c r="BL29">
        <v>294</v>
      </c>
      <c r="BM29">
        <v>261</v>
      </c>
      <c r="BN29">
        <v>699</v>
      </c>
      <c r="BO29">
        <v>621</v>
      </c>
      <c r="BP29">
        <v>600</v>
      </c>
      <c r="BQ29">
        <v>462</v>
      </c>
      <c r="BR29">
        <v>399</v>
      </c>
      <c r="BS29">
        <v>924</v>
      </c>
      <c r="BT29">
        <v>486</v>
      </c>
      <c r="BU29">
        <v>549</v>
      </c>
    </row>
    <row r="30" spans="1:73" x14ac:dyDescent="0.25">
      <c r="A30" t="s">
        <v>101</v>
      </c>
      <c r="B30">
        <v>663</v>
      </c>
      <c r="C30">
        <v>1449</v>
      </c>
      <c r="D30">
        <v>1464</v>
      </c>
      <c r="E30">
        <v>384</v>
      </c>
      <c r="F30">
        <v>531</v>
      </c>
      <c r="G30">
        <v>729</v>
      </c>
      <c r="H30">
        <v>678</v>
      </c>
      <c r="I30">
        <v>654</v>
      </c>
      <c r="J30">
        <v>222</v>
      </c>
      <c r="K30">
        <v>171</v>
      </c>
      <c r="L30">
        <v>1056</v>
      </c>
      <c r="M30">
        <v>1080</v>
      </c>
      <c r="N30">
        <v>1530</v>
      </c>
      <c r="O30">
        <v>357</v>
      </c>
      <c r="P30">
        <v>1470</v>
      </c>
      <c r="Q30">
        <v>297</v>
      </c>
      <c r="R30">
        <v>1434</v>
      </c>
      <c r="S30">
        <v>522</v>
      </c>
      <c r="T30">
        <v>1149</v>
      </c>
      <c r="U30">
        <v>429</v>
      </c>
      <c r="V30">
        <v>459</v>
      </c>
      <c r="W30">
        <v>843</v>
      </c>
      <c r="X30">
        <v>900</v>
      </c>
      <c r="Y30">
        <v>639</v>
      </c>
      <c r="Z30">
        <v>465</v>
      </c>
      <c r="AA30">
        <v>90</v>
      </c>
      <c r="AB30">
        <v>2244</v>
      </c>
      <c r="AC30">
        <v>2181</v>
      </c>
      <c r="AD30">
        <v>222</v>
      </c>
      <c r="AE30">
        <v>93</v>
      </c>
      <c r="AF30">
        <v>120</v>
      </c>
      <c r="AG30">
        <v>1050</v>
      </c>
      <c r="AH30">
        <v>1515</v>
      </c>
      <c r="AI30">
        <v>1350</v>
      </c>
      <c r="AJ30">
        <v>1059</v>
      </c>
      <c r="AK30">
        <v>243</v>
      </c>
      <c r="AL30">
        <v>198</v>
      </c>
      <c r="AM30">
        <v>120</v>
      </c>
      <c r="AN30">
        <v>126</v>
      </c>
      <c r="AO30">
        <v>99</v>
      </c>
      <c r="AP30">
        <v>126</v>
      </c>
      <c r="AQ30">
        <v>96</v>
      </c>
      <c r="AR30">
        <v>180</v>
      </c>
      <c r="AS30">
        <v>1401</v>
      </c>
      <c r="AT30">
        <v>366</v>
      </c>
      <c r="AU30">
        <v>387</v>
      </c>
      <c r="AV30">
        <v>759</v>
      </c>
      <c r="AW30">
        <v>327</v>
      </c>
      <c r="AX30">
        <v>312</v>
      </c>
      <c r="AY30">
        <v>267</v>
      </c>
      <c r="AZ30">
        <v>132</v>
      </c>
      <c r="BA30">
        <v>198</v>
      </c>
      <c r="BB30">
        <v>105</v>
      </c>
      <c r="BC30">
        <v>975</v>
      </c>
      <c r="BD30">
        <v>0</v>
      </c>
      <c r="BE30">
        <v>738</v>
      </c>
      <c r="BF30">
        <v>3183</v>
      </c>
      <c r="BG30">
        <v>408</v>
      </c>
      <c r="BH30">
        <v>297</v>
      </c>
      <c r="BI30">
        <v>297</v>
      </c>
      <c r="BJ30">
        <v>117</v>
      </c>
      <c r="BK30">
        <v>0</v>
      </c>
      <c r="BL30">
        <v>297</v>
      </c>
      <c r="BM30">
        <v>261</v>
      </c>
      <c r="BN30">
        <v>699</v>
      </c>
      <c r="BO30">
        <v>621</v>
      </c>
      <c r="BP30">
        <v>228</v>
      </c>
      <c r="BQ30">
        <v>462</v>
      </c>
      <c r="BR30">
        <v>399</v>
      </c>
      <c r="BS30">
        <v>0</v>
      </c>
      <c r="BT30">
        <v>486</v>
      </c>
      <c r="BU30">
        <v>549</v>
      </c>
    </row>
    <row r="32" spans="1:73" x14ac:dyDescent="0.25">
      <c r="A32" t="s">
        <v>120</v>
      </c>
      <c r="B32" t="s">
        <v>1</v>
      </c>
      <c r="C32" t="s">
        <v>2</v>
      </c>
      <c r="D32" t="s">
        <v>3</v>
      </c>
      <c r="E32" t="s">
        <v>4</v>
      </c>
      <c r="F32" t="s">
        <v>5</v>
      </c>
      <c r="G32" t="s">
        <v>6</v>
      </c>
      <c r="H32" t="s">
        <v>7</v>
      </c>
      <c r="I32" t="s">
        <v>8</v>
      </c>
      <c r="J32" t="s">
        <v>9</v>
      </c>
      <c r="K32" t="s">
        <v>10</v>
      </c>
      <c r="L32" t="s">
        <v>11</v>
      </c>
      <c r="M32" t="s">
        <v>12</v>
      </c>
      <c r="N32" t="s">
        <v>13</v>
      </c>
      <c r="O32" t="s">
        <v>14</v>
      </c>
      <c r="P32" t="s">
        <v>15</v>
      </c>
      <c r="Q32" t="s">
        <v>16</v>
      </c>
      <c r="R32" t="s">
        <v>17</v>
      </c>
      <c r="S32" t="s">
        <v>18</v>
      </c>
      <c r="T32" t="s">
        <v>19</v>
      </c>
      <c r="U32" t="s">
        <v>20</v>
      </c>
      <c r="V32" t="s">
        <v>21</v>
      </c>
      <c r="W32" t="s">
        <v>22</v>
      </c>
      <c r="X32" t="s">
        <v>23</v>
      </c>
      <c r="Y32" t="s">
        <v>24</v>
      </c>
      <c r="Z32" t="s">
        <v>25</v>
      </c>
      <c r="AA32" t="s">
        <v>26</v>
      </c>
      <c r="AB32" t="s">
        <v>27</v>
      </c>
      <c r="AC32" t="s">
        <v>28</v>
      </c>
      <c r="AD32" t="s">
        <v>29</v>
      </c>
      <c r="AE32" t="s">
        <v>30</v>
      </c>
      <c r="AF32" t="s">
        <v>31</v>
      </c>
      <c r="AG32" t="s">
        <v>32</v>
      </c>
      <c r="AH32" t="s">
        <v>33</v>
      </c>
      <c r="AI32" t="s">
        <v>34</v>
      </c>
      <c r="AJ32" t="s">
        <v>35</v>
      </c>
      <c r="AK32" t="s">
        <v>36</v>
      </c>
      <c r="AL32" t="s">
        <v>37</v>
      </c>
      <c r="AM32" t="s">
        <v>38</v>
      </c>
      <c r="AN32" t="s">
        <v>39</v>
      </c>
      <c r="AO32" t="s">
        <v>40</v>
      </c>
      <c r="AP32" t="s">
        <v>41</v>
      </c>
      <c r="AQ32" t="s">
        <v>42</v>
      </c>
      <c r="AR32" t="s">
        <v>43</v>
      </c>
      <c r="AS32" t="s">
        <v>44</v>
      </c>
      <c r="AT32" t="s">
        <v>45</v>
      </c>
      <c r="AU32" t="s">
        <v>46</v>
      </c>
      <c r="AV32" t="s">
        <v>47</v>
      </c>
      <c r="AW32" t="s">
        <v>48</v>
      </c>
      <c r="AX32" t="s">
        <v>49</v>
      </c>
      <c r="AY32" t="s">
        <v>50</v>
      </c>
      <c r="AZ32" t="s">
        <v>51</v>
      </c>
      <c r="BA32" t="s">
        <v>52</v>
      </c>
      <c r="BB32" t="s">
        <v>53</v>
      </c>
      <c r="BC32" t="s">
        <v>54</v>
      </c>
      <c r="BD32" t="s">
        <v>55</v>
      </c>
      <c r="BE32" t="s">
        <v>56</v>
      </c>
      <c r="BF32" t="s">
        <v>57</v>
      </c>
      <c r="BG32" t="s">
        <v>58</v>
      </c>
      <c r="BH32" t="s">
        <v>59</v>
      </c>
      <c r="BI32" t="s">
        <v>60</v>
      </c>
      <c r="BJ32" t="s">
        <v>61</v>
      </c>
      <c r="BK32" t="s">
        <v>62</v>
      </c>
      <c r="BL32" t="s">
        <v>63</v>
      </c>
      <c r="BM32" t="s">
        <v>64</v>
      </c>
      <c r="BN32" t="s">
        <v>65</v>
      </c>
      <c r="BO32" t="s">
        <v>66</v>
      </c>
      <c r="BP32" t="s">
        <v>67</v>
      </c>
      <c r="BQ32" t="s">
        <v>68</v>
      </c>
      <c r="BR32" t="s">
        <v>69</v>
      </c>
      <c r="BS32" t="s">
        <v>70</v>
      </c>
      <c r="BT32" t="s">
        <v>71</v>
      </c>
      <c r="BU32" t="s">
        <v>72</v>
      </c>
    </row>
    <row r="33" spans="1:74" x14ac:dyDescent="0.25">
      <c r="A33" t="s">
        <v>128</v>
      </c>
      <c r="B33">
        <f>COUNTIF(B3:B30, 0)</f>
        <v>4</v>
      </c>
      <c r="C33">
        <f t="shared" ref="C33:BN33" si="0">COUNTIF(C3:C30, 0)</f>
        <v>2</v>
      </c>
      <c r="D33">
        <f t="shared" si="0"/>
        <v>3</v>
      </c>
      <c r="E33">
        <f t="shared" si="0"/>
        <v>3</v>
      </c>
      <c r="F33">
        <f t="shared" si="0"/>
        <v>8</v>
      </c>
      <c r="G33">
        <f t="shared" si="0"/>
        <v>5</v>
      </c>
      <c r="H33">
        <f t="shared" si="0"/>
        <v>9</v>
      </c>
      <c r="I33">
        <f t="shared" si="0"/>
        <v>4</v>
      </c>
      <c r="J33">
        <f t="shared" si="0"/>
        <v>19</v>
      </c>
      <c r="K33">
        <f t="shared" si="0"/>
        <v>17</v>
      </c>
      <c r="L33">
        <f t="shared" si="0"/>
        <v>3</v>
      </c>
      <c r="M33">
        <f t="shared" si="0"/>
        <v>1</v>
      </c>
      <c r="N33">
        <f t="shared" si="0"/>
        <v>1</v>
      </c>
      <c r="O33">
        <f t="shared" si="0"/>
        <v>9</v>
      </c>
      <c r="P33">
        <f t="shared" si="0"/>
        <v>4</v>
      </c>
      <c r="Q33">
        <f t="shared" si="0"/>
        <v>8</v>
      </c>
      <c r="R33">
        <f t="shared" si="0"/>
        <v>1</v>
      </c>
      <c r="S33">
        <f t="shared" si="0"/>
        <v>9</v>
      </c>
      <c r="T33">
        <f t="shared" si="0"/>
        <v>1</v>
      </c>
      <c r="U33">
        <f t="shared" si="0"/>
        <v>7</v>
      </c>
      <c r="V33">
        <f t="shared" si="0"/>
        <v>7</v>
      </c>
      <c r="W33">
        <f t="shared" si="0"/>
        <v>5</v>
      </c>
      <c r="X33">
        <f t="shared" si="0"/>
        <v>1</v>
      </c>
      <c r="Y33">
        <f t="shared" si="0"/>
        <v>5</v>
      </c>
      <c r="Z33">
        <f t="shared" si="0"/>
        <v>8</v>
      </c>
      <c r="AA33">
        <f t="shared" si="0"/>
        <v>15</v>
      </c>
      <c r="AB33">
        <f t="shared" si="0"/>
        <v>2</v>
      </c>
      <c r="AC33">
        <f t="shared" si="0"/>
        <v>3</v>
      </c>
      <c r="AD33">
        <f t="shared" si="0"/>
        <v>9</v>
      </c>
      <c r="AE33">
        <f t="shared" si="0"/>
        <v>13</v>
      </c>
      <c r="AF33">
        <f t="shared" si="0"/>
        <v>9</v>
      </c>
      <c r="AG33">
        <f t="shared" si="0"/>
        <v>1</v>
      </c>
      <c r="AH33">
        <f t="shared" si="0"/>
        <v>3</v>
      </c>
      <c r="AI33">
        <f t="shared" si="0"/>
        <v>3</v>
      </c>
      <c r="AJ33">
        <f t="shared" si="0"/>
        <v>4</v>
      </c>
      <c r="AK33">
        <f t="shared" si="0"/>
        <v>10</v>
      </c>
      <c r="AL33">
        <f t="shared" si="0"/>
        <v>11</v>
      </c>
      <c r="AM33">
        <f t="shared" si="0"/>
        <v>13</v>
      </c>
      <c r="AN33">
        <f t="shared" si="0"/>
        <v>13</v>
      </c>
      <c r="AO33">
        <f t="shared" si="0"/>
        <v>12</v>
      </c>
      <c r="AP33">
        <f t="shared" si="0"/>
        <v>7</v>
      </c>
      <c r="AQ33">
        <f t="shared" si="0"/>
        <v>10</v>
      </c>
      <c r="AR33">
        <f t="shared" si="0"/>
        <v>13</v>
      </c>
      <c r="AS33">
        <f t="shared" si="0"/>
        <v>3</v>
      </c>
      <c r="AT33">
        <f t="shared" si="0"/>
        <v>9</v>
      </c>
      <c r="AU33">
        <f t="shared" si="0"/>
        <v>7</v>
      </c>
      <c r="AV33">
        <f t="shared" si="0"/>
        <v>1</v>
      </c>
      <c r="AW33">
        <f t="shared" si="0"/>
        <v>9</v>
      </c>
      <c r="AX33">
        <f t="shared" si="0"/>
        <v>8</v>
      </c>
      <c r="AY33">
        <f t="shared" si="0"/>
        <v>10</v>
      </c>
      <c r="AZ33">
        <f t="shared" si="0"/>
        <v>20</v>
      </c>
      <c r="BA33">
        <f t="shared" si="0"/>
        <v>12</v>
      </c>
      <c r="BB33">
        <f t="shared" si="0"/>
        <v>13</v>
      </c>
      <c r="BC33">
        <f t="shared" si="0"/>
        <v>4</v>
      </c>
      <c r="BD33">
        <f t="shared" si="0"/>
        <v>2</v>
      </c>
      <c r="BE33">
        <f t="shared" si="0"/>
        <v>1</v>
      </c>
      <c r="BF33">
        <f t="shared" si="0"/>
        <v>1</v>
      </c>
      <c r="BG33">
        <f t="shared" si="0"/>
        <v>8</v>
      </c>
      <c r="BH33">
        <f t="shared" si="0"/>
        <v>2</v>
      </c>
      <c r="BI33">
        <f t="shared" si="0"/>
        <v>10</v>
      </c>
      <c r="BJ33">
        <f t="shared" si="0"/>
        <v>9</v>
      </c>
      <c r="BK33">
        <f t="shared" si="0"/>
        <v>27</v>
      </c>
      <c r="BL33">
        <f t="shared" si="0"/>
        <v>10</v>
      </c>
      <c r="BM33">
        <f t="shared" si="0"/>
        <v>6</v>
      </c>
      <c r="BN33">
        <f t="shared" si="0"/>
        <v>3</v>
      </c>
      <c r="BO33">
        <f t="shared" ref="BO33:BU33" si="1">COUNTIF(BO3:BO30, 0)</f>
        <v>5</v>
      </c>
      <c r="BP33">
        <f t="shared" si="1"/>
        <v>6</v>
      </c>
      <c r="BQ33">
        <f t="shared" si="1"/>
        <v>5</v>
      </c>
      <c r="BR33">
        <f t="shared" si="1"/>
        <v>7</v>
      </c>
      <c r="BS33">
        <f t="shared" si="1"/>
        <v>6</v>
      </c>
      <c r="BT33">
        <f t="shared" si="1"/>
        <v>5</v>
      </c>
      <c r="BU33">
        <f t="shared" si="1"/>
        <v>5</v>
      </c>
    </row>
    <row r="34" spans="1:74" x14ac:dyDescent="0.25">
      <c r="A34" t="s">
        <v>121</v>
      </c>
      <c r="B34">
        <f>COUNTIF(B$11, 0)</f>
        <v>1</v>
      </c>
      <c r="C34">
        <f t="shared" ref="C34:BN34" si="2">COUNTIF(C$11, 0)</f>
        <v>1</v>
      </c>
      <c r="D34">
        <f t="shared" si="2"/>
        <v>1</v>
      </c>
      <c r="E34">
        <f t="shared" si="2"/>
        <v>1</v>
      </c>
      <c r="F34">
        <f t="shared" si="2"/>
        <v>1</v>
      </c>
      <c r="G34">
        <f t="shared" si="2"/>
        <v>1</v>
      </c>
      <c r="H34">
        <f t="shared" si="2"/>
        <v>1</v>
      </c>
      <c r="I34">
        <f t="shared" si="2"/>
        <v>1</v>
      </c>
      <c r="J34">
        <f t="shared" si="2"/>
        <v>1</v>
      </c>
      <c r="K34">
        <f t="shared" si="2"/>
        <v>1</v>
      </c>
      <c r="L34">
        <f t="shared" si="2"/>
        <v>1</v>
      </c>
      <c r="M34">
        <f t="shared" si="2"/>
        <v>1</v>
      </c>
      <c r="N34">
        <f t="shared" si="2"/>
        <v>1</v>
      </c>
      <c r="O34">
        <f t="shared" si="2"/>
        <v>1</v>
      </c>
      <c r="P34">
        <f t="shared" si="2"/>
        <v>1</v>
      </c>
      <c r="Q34">
        <f t="shared" si="2"/>
        <v>1</v>
      </c>
      <c r="R34">
        <f t="shared" si="2"/>
        <v>1</v>
      </c>
      <c r="S34">
        <f t="shared" si="2"/>
        <v>1</v>
      </c>
      <c r="T34">
        <f t="shared" si="2"/>
        <v>1</v>
      </c>
      <c r="U34">
        <f t="shared" si="2"/>
        <v>1</v>
      </c>
      <c r="V34">
        <f t="shared" si="2"/>
        <v>1</v>
      </c>
      <c r="W34">
        <f t="shared" si="2"/>
        <v>1</v>
      </c>
      <c r="X34">
        <f t="shared" si="2"/>
        <v>1</v>
      </c>
      <c r="Y34">
        <f t="shared" si="2"/>
        <v>1</v>
      </c>
      <c r="Z34">
        <f t="shared" si="2"/>
        <v>1</v>
      </c>
      <c r="AA34">
        <f t="shared" si="2"/>
        <v>1</v>
      </c>
      <c r="AB34">
        <f t="shared" si="2"/>
        <v>1</v>
      </c>
      <c r="AC34">
        <f t="shared" si="2"/>
        <v>1</v>
      </c>
      <c r="AD34">
        <f t="shared" si="2"/>
        <v>1</v>
      </c>
      <c r="AE34">
        <f t="shared" si="2"/>
        <v>1</v>
      </c>
      <c r="AF34">
        <f t="shared" si="2"/>
        <v>1</v>
      </c>
      <c r="AG34">
        <f t="shared" si="2"/>
        <v>1</v>
      </c>
      <c r="AH34">
        <f t="shared" si="2"/>
        <v>1</v>
      </c>
      <c r="AI34">
        <f t="shared" si="2"/>
        <v>1</v>
      </c>
      <c r="AJ34">
        <f t="shared" si="2"/>
        <v>1</v>
      </c>
      <c r="AK34">
        <f t="shared" si="2"/>
        <v>1</v>
      </c>
      <c r="AL34">
        <f t="shared" si="2"/>
        <v>1</v>
      </c>
      <c r="AM34">
        <f t="shared" si="2"/>
        <v>1</v>
      </c>
      <c r="AN34">
        <f t="shared" si="2"/>
        <v>1</v>
      </c>
      <c r="AO34">
        <f t="shared" si="2"/>
        <v>1</v>
      </c>
      <c r="AP34">
        <f t="shared" si="2"/>
        <v>1</v>
      </c>
      <c r="AQ34">
        <f t="shared" si="2"/>
        <v>1</v>
      </c>
      <c r="AR34">
        <f t="shared" si="2"/>
        <v>1</v>
      </c>
      <c r="AS34">
        <f t="shared" si="2"/>
        <v>1</v>
      </c>
      <c r="AT34">
        <f t="shared" si="2"/>
        <v>1</v>
      </c>
      <c r="AU34">
        <f t="shared" si="2"/>
        <v>1</v>
      </c>
      <c r="AV34">
        <f t="shared" si="2"/>
        <v>1</v>
      </c>
      <c r="AW34">
        <f t="shared" si="2"/>
        <v>1</v>
      </c>
      <c r="AX34">
        <f t="shared" si="2"/>
        <v>1</v>
      </c>
      <c r="AY34">
        <f t="shared" si="2"/>
        <v>1</v>
      </c>
      <c r="AZ34">
        <f t="shared" si="2"/>
        <v>1</v>
      </c>
      <c r="BA34">
        <f t="shared" si="2"/>
        <v>1</v>
      </c>
      <c r="BB34">
        <f t="shared" si="2"/>
        <v>1</v>
      </c>
      <c r="BC34">
        <f t="shared" si="2"/>
        <v>1</v>
      </c>
      <c r="BD34">
        <f t="shared" si="2"/>
        <v>1</v>
      </c>
      <c r="BE34">
        <f t="shared" si="2"/>
        <v>1</v>
      </c>
      <c r="BF34">
        <f t="shared" si="2"/>
        <v>1</v>
      </c>
      <c r="BG34">
        <f t="shared" si="2"/>
        <v>1</v>
      </c>
      <c r="BH34">
        <f t="shared" si="2"/>
        <v>1</v>
      </c>
      <c r="BI34">
        <f t="shared" si="2"/>
        <v>1</v>
      </c>
      <c r="BJ34">
        <f t="shared" si="2"/>
        <v>1</v>
      </c>
      <c r="BK34">
        <f t="shared" si="2"/>
        <v>1</v>
      </c>
      <c r="BL34">
        <f t="shared" si="2"/>
        <v>1</v>
      </c>
      <c r="BM34">
        <f t="shared" si="2"/>
        <v>1</v>
      </c>
      <c r="BN34">
        <f t="shared" si="2"/>
        <v>1</v>
      </c>
      <c r="BO34">
        <f t="shared" ref="BO34:BU34" si="3">COUNTIF(BO$11, 0)</f>
        <v>1</v>
      </c>
      <c r="BP34">
        <f t="shared" si="3"/>
        <v>1</v>
      </c>
      <c r="BQ34">
        <f t="shared" si="3"/>
        <v>1</v>
      </c>
      <c r="BR34">
        <f t="shared" si="3"/>
        <v>1</v>
      </c>
      <c r="BS34">
        <f t="shared" si="3"/>
        <v>1</v>
      </c>
      <c r="BT34">
        <f t="shared" si="3"/>
        <v>1</v>
      </c>
      <c r="BU34">
        <f t="shared" si="3"/>
        <v>1</v>
      </c>
    </row>
    <row r="35" spans="1:74" x14ac:dyDescent="0.25">
      <c r="A35" t="s">
        <v>122</v>
      </c>
      <c r="B35">
        <f>COUNTIF(B$15, 0)</f>
        <v>0</v>
      </c>
      <c r="C35">
        <f t="shared" ref="C35:BN35" si="4">COUNTIF(C$15, 0)</f>
        <v>1</v>
      </c>
      <c r="D35">
        <f t="shared" si="4"/>
        <v>1</v>
      </c>
      <c r="E35">
        <f t="shared" si="4"/>
        <v>1</v>
      </c>
      <c r="F35">
        <f t="shared" si="4"/>
        <v>1</v>
      </c>
      <c r="G35">
        <f t="shared" si="4"/>
        <v>1</v>
      </c>
      <c r="H35">
        <f t="shared" si="4"/>
        <v>1</v>
      </c>
      <c r="I35">
        <f t="shared" si="4"/>
        <v>1</v>
      </c>
      <c r="J35">
        <f t="shared" si="4"/>
        <v>1</v>
      </c>
      <c r="K35">
        <f t="shared" si="4"/>
        <v>1</v>
      </c>
      <c r="L35">
        <f t="shared" si="4"/>
        <v>0</v>
      </c>
      <c r="M35">
        <f t="shared" si="4"/>
        <v>0</v>
      </c>
      <c r="N35">
        <f t="shared" si="4"/>
        <v>0</v>
      </c>
      <c r="O35">
        <f t="shared" si="4"/>
        <v>1</v>
      </c>
      <c r="P35">
        <f t="shared" si="4"/>
        <v>0</v>
      </c>
      <c r="Q35">
        <f t="shared" si="4"/>
        <v>1</v>
      </c>
      <c r="R35">
        <f t="shared" si="4"/>
        <v>0</v>
      </c>
      <c r="S35">
        <f t="shared" si="4"/>
        <v>1</v>
      </c>
      <c r="T35">
        <f t="shared" si="4"/>
        <v>0</v>
      </c>
      <c r="U35">
        <f t="shared" si="4"/>
        <v>1</v>
      </c>
      <c r="V35">
        <f t="shared" si="4"/>
        <v>1</v>
      </c>
      <c r="W35">
        <f t="shared" si="4"/>
        <v>1</v>
      </c>
      <c r="X35">
        <f t="shared" si="4"/>
        <v>0</v>
      </c>
      <c r="Y35">
        <f t="shared" si="4"/>
        <v>0</v>
      </c>
      <c r="Z35">
        <f t="shared" si="4"/>
        <v>1</v>
      </c>
      <c r="AA35">
        <f t="shared" si="4"/>
        <v>1</v>
      </c>
      <c r="AB35">
        <f t="shared" si="4"/>
        <v>1</v>
      </c>
      <c r="AC35">
        <f t="shared" si="4"/>
        <v>1</v>
      </c>
      <c r="AD35">
        <f t="shared" si="4"/>
        <v>1</v>
      </c>
      <c r="AE35">
        <f t="shared" si="4"/>
        <v>1</v>
      </c>
      <c r="AF35">
        <f t="shared" si="4"/>
        <v>1</v>
      </c>
      <c r="AG35">
        <f t="shared" si="4"/>
        <v>0</v>
      </c>
      <c r="AH35">
        <f t="shared" si="4"/>
        <v>1</v>
      </c>
      <c r="AI35">
        <f t="shared" si="4"/>
        <v>1</v>
      </c>
      <c r="AJ35">
        <f t="shared" si="4"/>
        <v>1</v>
      </c>
      <c r="AK35">
        <f t="shared" si="4"/>
        <v>1</v>
      </c>
      <c r="AL35">
        <f t="shared" si="4"/>
        <v>1</v>
      </c>
      <c r="AM35">
        <f t="shared" si="4"/>
        <v>1</v>
      </c>
      <c r="AN35">
        <f t="shared" si="4"/>
        <v>1</v>
      </c>
      <c r="AO35">
        <f t="shared" si="4"/>
        <v>0</v>
      </c>
      <c r="AP35">
        <f t="shared" si="4"/>
        <v>0</v>
      </c>
      <c r="AQ35">
        <f t="shared" si="4"/>
        <v>1</v>
      </c>
      <c r="AR35">
        <f t="shared" si="4"/>
        <v>1</v>
      </c>
      <c r="AS35">
        <f t="shared" si="4"/>
        <v>1</v>
      </c>
      <c r="AT35">
        <f t="shared" si="4"/>
        <v>1</v>
      </c>
      <c r="AU35">
        <f t="shared" si="4"/>
        <v>1</v>
      </c>
      <c r="AV35">
        <f t="shared" si="4"/>
        <v>0</v>
      </c>
      <c r="AW35">
        <f t="shared" si="4"/>
        <v>1</v>
      </c>
      <c r="AX35">
        <f t="shared" si="4"/>
        <v>1</v>
      </c>
      <c r="AY35">
        <f t="shared" si="4"/>
        <v>1</v>
      </c>
      <c r="AZ35">
        <f t="shared" si="4"/>
        <v>1</v>
      </c>
      <c r="BA35">
        <f t="shared" si="4"/>
        <v>1</v>
      </c>
      <c r="BB35">
        <f t="shared" si="4"/>
        <v>1</v>
      </c>
      <c r="BC35">
        <f t="shared" si="4"/>
        <v>1</v>
      </c>
      <c r="BD35">
        <f t="shared" si="4"/>
        <v>0</v>
      </c>
      <c r="BE35">
        <f t="shared" si="4"/>
        <v>0</v>
      </c>
      <c r="BF35">
        <f t="shared" si="4"/>
        <v>0</v>
      </c>
      <c r="BG35">
        <f t="shared" si="4"/>
        <v>1</v>
      </c>
      <c r="BH35">
        <f t="shared" si="4"/>
        <v>0</v>
      </c>
      <c r="BI35">
        <f t="shared" si="4"/>
        <v>1</v>
      </c>
      <c r="BJ35">
        <f t="shared" si="4"/>
        <v>1</v>
      </c>
      <c r="BK35">
        <f t="shared" si="4"/>
        <v>1</v>
      </c>
      <c r="BL35">
        <f t="shared" si="4"/>
        <v>1</v>
      </c>
      <c r="BM35">
        <f t="shared" si="4"/>
        <v>0</v>
      </c>
      <c r="BN35">
        <f t="shared" si="4"/>
        <v>0</v>
      </c>
      <c r="BO35">
        <f t="shared" ref="BO35:BU35" si="5">COUNTIF(BO$15, 0)</f>
        <v>1</v>
      </c>
      <c r="BP35">
        <f t="shared" si="5"/>
        <v>1</v>
      </c>
      <c r="BQ35">
        <f t="shared" si="5"/>
        <v>1</v>
      </c>
      <c r="BR35">
        <f t="shared" si="5"/>
        <v>1</v>
      </c>
      <c r="BS35">
        <f t="shared" si="5"/>
        <v>0</v>
      </c>
      <c r="BT35">
        <f t="shared" si="5"/>
        <v>1</v>
      </c>
      <c r="BU35">
        <f t="shared" si="5"/>
        <v>0</v>
      </c>
    </row>
    <row r="36" spans="1:74" x14ac:dyDescent="0.25">
      <c r="A36" t="s">
        <v>126</v>
      </c>
      <c r="B36">
        <f>COUNTIF(B$6, 0)</f>
        <v>0</v>
      </c>
      <c r="C36">
        <f t="shared" ref="C36:BN36" si="6">COUNTIF(C$6, 0)</f>
        <v>0</v>
      </c>
      <c r="D36">
        <f t="shared" si="6"/>
        <v>0</v>
      </c>
      <c r="E36">
        <f t="shared" si="6"/>
        <v>0</v>
      </c>
      <c r="F36">
        <f t="shared" si="6"/>
        <v>1</v>
      </c>
      <c r="G36">
        <f t="shared" si="6"/>
        <v>0</v>
      </c>
      <c r="H36">
        <f t="shared" si="6"/>
        <v>1</v>
      </c>
      <c r="I36">
        <f t="shared" si="6"/>
        <v>0</v>
      </c>
      <c r="J36">
        <f t="shared" si="6"/>
        <v>1</v>
      </c>
      <c r="K36">
        <f t="shared" si="6"/>
        <v>1</v>
      </c>
      <c r="L36">
        <f t="shared" si="6"/>
        <v>0</v>
      </c>
      <c r="M36">
        <f t="shared" si="6"/>
        <v>0</v>
      </c>
      <c r="N36">
        <f t="shared" si="6"/>
        <v>0</v>
      </c>
      <c r="O36">
        <f t="shared" si="6"/>
        <v>1</v>
      </c>
      <c r="P36">
        <f t="shared" si="6"/>
        <v>0</v>
      </c>
      <c r="Q36">
        <f t="shared" si="6"/>
        <v>1</v>
      </c>
      <c r="R36">
        <f t="shared" si="6"/>
        <v>0</v>
      </c>
      <c r="S36">
        <f t="shared" si="6"/>
        <v>1</v>
      </c>
      <c r="T36">
        <f t="shared" si="6"/>
        <v>0</v>
      </c>
      <c r="U36">
        <f t="shared" si="6"/>
        <v>1</v>
      </c>
      <c r="V36">
        <f t="shared" si="6"/>
        <v>1</v>
      </c>
      <c r="W36">
        <f t="shared" si="6"/>
        <v>1</v>
      </c>
      <c r="X36">
        <f t="shared" si="6"/>
        <v>0</v>
      </c>
      <c r="Y36">
        <f t="shared" si="6"/>
        <v>0</v>
      </c>
      <c r="Z36">
        <f t="shared" si="6"/>
        <v>1</v>
      </c>
      <c r="AA36">
        <f t="shared" si="6"/>
        <v>1</v>
      </c>
      <c r="AB36">
        <f t="shared" si="6"/>
        <v>0</v>
      </c>
      <c r="AC36">
        <f t="shared" si="6"/>
        <v>0</v>
      </c>
      <c r="AD36">
        <f t="shared" si="6"/>
        <v>1</v>
      </c>
      <c r="AE36">
        <f t="shared" si="6"/>
        <v>1</v>
      </c>
      <c r="AF36">
        <f t="shared" si="6"/>
        <v>1</v>
      </c>
      <c r="AG36">
        <f t="shared" si="6"/>
        <v>0</v>
      </c>
      <c r="AH36">
        <f t="shared" si="6"/>
        <v>0</v>
      </c>
      <c r="AI36">
        <f t="shared" si="6"/>
        <v>0</v>
      </c>
      <c r="AJ36">
        <f t="shared" si="6"/>
        <v>0</v>
      </c>
      <c r="AK36">
        <f t="shared" si="6"/>
        <v>1</v>
      </c>
      <c r="AL36">
        <f t="shared" si="6"/>
        <v>0</v>
      </c>
      <c r="AM36">
        <f t="shared" si="6"/>
        <v>0</v>
      </c>
      <c r="AN36">
        <f t="shared" si="6"/>
        <v>1</v>
      </c>
      <c r="AO36">
        <f t="shared" si="6"/>
        <v>1</v>
      </c>
      <c r="AP36">
        <f t="shared" si="6"/>
        <v>0</v>
      </c>
      <c r="AQ36">
        <f t="shared" si="6"/>
        <v>0</v>
      </c>
      <c r="AR36">
        <f t="shared" si="6"/>
        <v>0</v>
      </c>
      <c r="AS36">
        <f t="shared" si="6"/>
        <v>0</v>
      </c>
      <c r="AT36">
        <f t="shared" si="6"/>
        <v>1</v>
      </c>
      <c r="AU36">
        <f t="shared" si="6"/>
        <v>1</v>
      </c>
      <c r="AV36">
        <f t="shared" si="6"/>
        <v>0</v>
      </c>
      <c r="AW36">
        <f t="shared" si="6"/>
        <v>1</v>
      </c>
      <c r="AX36">
        <f t="shared" si="6"/>
        <v>1</v>
      </c>
      <c r="AY36">
        <f t="shared" si="6"/>
        <v>0</v>
      </c>
      <c r="AZ36">
        <f t="shared" si="6"/>
        <v>1</v>
      </c>
      <c r="BA36">
        <f t="shared" si="6"/>
        <v>1</v>
      </c>
      <c r="BB36">
        <f t="shared" si="6"/>
        <v>1</v>
      </c>
      <c r="BC36">
        <f t="shared" si="6"/>
        <v>0</v>
      </c>
      <c r="BD36">
        <f t="shared" si="6"/>
        <v>0</v>
      </c>
      <c r="BE36">
        <f t="shared" si="6"/>
        <v>0</v>
      </c>
      <c r="BF36">
        <f t="shared" si="6"/>
        <v>0</v>
      </c>
      <c r="BG36">
        <f t="shared" si="6"/>
        <v>1</v>
      </c>
      <c r="BH36">
        <f t="shared" si="6"/>
        <v>0</v>
      </c>
      <c r="BI36">
        <f t="shared" si="6"/>
        <v>1</v>
      </c>
      <c r="BJ36">
        <f t="shared" si="6"/>
        <v>1</v>
      </c>
      <c r="BK36">
        <f t="shared" si="6"/>
        <v>1</v>
      </c>
      <c r="BL36">
        <f t="shared" si="6"/>
        <v>1</v>
      </c>
      <c r="BM36">
        <f t="shared" si="6"/>
        <v>1</v>
      </c>
      <c r="BN36">
        <f t="shared" si="6"/>
        <v>1</v>
      </c>
      <c r="BO36">
        <f t="shared" ref="BO36:BU36" si="7">COUNTIF(BO$6, 0)</f>
        <v>0</v>
      </c>
      <c r="BP36">
        <f t="shared" si="7"/>
        <v>1</v>
      </c>
      <c r="BQ36">
        <f t="shared" si="7"/>
        <v>0</v>
      </c>
      <c r="BR36">
        <f t="shared" si="7"/>
        <v>1</v>
      </c>
      <c r="BS36">
        <f t="shared" si="7"/>
        <v>0</v>
      </c>
      <c r="BT36">
        <f t="shared" si="7"/>
        <v>0</v>
      </c>
      <c r="BU36">
        <f t="shared" si="7"/>
        <v>0</v>
      </c>
    </row>
    <row r="37" spans="1:74" x14ac:dyDescent="0.25">
      <c r="A37" t="s">
        <v>123</v>
      </c>
      <c r="B37">
        <f>COUNTIF(B$12, 0)</f>
        <v>0</v>
      </c>
      <c r="C37">
        <f t="shared" ref="C37:BN37" si="8">COUNTIF(C$12, 0)</f>
        <v>0</v>
      </c>
      <c r="D37">
        <f t="shared" si="8"/>
        <v>0</v>
      </c>
      <c r="E37">
        <f t="shared" si="8"/>
        <v>0</v>
      </c>
      <c r="F37">
        <f t="shared" si="8"/>
        <v>0</v>
      </c>
      <c r="G37">
        <f t="shared" si="8"/>
        <v>0</v>
      </c>
      <c r="H37">
        <f t="shared" si="8"/>
        <v>1</v>
      </c>
      <c r="I37">
        <f t="shared" si="8"/>
        <v>0</v>
      </c>
      <c r="J37">
        <f t="shared" si="8"/>
        <v>0</v>
      </c>
      <c r="K37">
        <f t="shared" si="8"/>
        <v>1</v>
      </c>
      <c r="L37">
        <f t="shared" si="8"/>
        <v>0</v>
      </c>
      <c r="M37">
        <f t="shared" si="8"/>
        <v>0</v>
      </c>
      <c r="N37">
        <f t="shared" si="8"/>
        <v>0</v>
      </c>
      <c r="O37">
        <f t="shared" si="8"/>
        <v>0</v>
      </c>
      <c r="P37">
        <f t="shared" si="8"/>
        <v>0</v>
      </c>
      <c r="Q37">
        <f t="shared" si="8"/>
        <v>1</v>
      </c>
      <c r="R37">
        <f t="shared" si="8"/>
        <v>0</v>
      </c>
      <c r="S37">
        <f t="shared" si="8"/>
        <v>0</v>
      </c>
      <c r="T37">
        <f t="shared" si="8"/>
        <v>0</v>
      </c>
      <c r="U37">
        <f t="shared" si="8"/>
        <v>1</v>
      </c>
      <c r="V37">
        <f t="shared" si="8"/>
        <v>1</v>
      </c>
      <c r="W37">
        <f t="shared" si="8"/>
        <v>0</v>
      </c>
      <c r="X37">
        <f t="shared" si="8"/>
        <v>0</v>
      </c>
      <c r="Y37">
        <f t="shared" si="8"/>
        <v>1</v>
      </c>
      <c r="Z37">
        <f t="shared" si="8"/>
        <v>1</v>
      </c>
      <c r="AA37">
        <f t="shared" si="8"/>
        <v>0</v>
      </c>
      <c r="AB37">
        <f t="shared" si="8"/>
        <v>0</v>
      </c>
      <c r="AC37">
        <f t="shared" si="8"/>
        <v>0</v>
      </c>
      <c r="AD37">
        <f t="shared" si="8"/>
        <v>1</v>
      </c>
      <c r="AE37">
        <f t="shared" si="8"/>
        <v>1</v>
      </c>
      <c r="AF37">
        <f t="shared" si="8"/>
        <v>1</v>
      </c>
      <c r="AG37">
        <f t="shared" si="8"/>
        <v>0</v>
      </c>
      <c r="AH37">
        <f t="shared" si="8"/>
        <v>0</v>
      </c>
      <c r="AI37">
        <f t="shared" si="8"/>
        <v>0</v>
      </c>
      <c r="AJ37">
        <f t="shared" si="8"/>
        <v>1</v>
      </c>
      <c r="AK37">
        <f t="shared" si="8"/>
        <v>0</v>
      </c>
      <c r="AL37">
        <f t="shared" si="8"/>
        <v>1</v>
      </c>
      <c r="AM37">
        <f t="shared" si="8"/>
        <v>1</v>
      </c>
      <c r="AN37">
        <f t="shared" si="8"/>
        <v>0</v>
      </c>
      <c r="AO37">
        <f t="shared" si="8"/>
        <v>1</v>
      </c>
      <c r="AP37">
        <f t="shared" si="8"/>
        <v>1</v>
      </c>
      <c r="AQ37">
        <f t="shared" si="8"/>
        <v>1</v>
      </c>
      <c r="AR37">
        <f t="shared" si="8"/>
        <v>1</v>
      </c>
      <c r="AS37">
        <f t="shared" si="8"/>
        <v>0</v>
      </c>
      <c r="AT37">
        <f t="shared" si="8"/>
        <v>1</v>
      </c>
      <c r="AU37">
        <f t="shared" si="8"/>
        <v>0</v>
      </c>
      <c r="AV37">
        <f t="shared" si="8"/>
        <v>0</v>
      </c>
      <c r="AW37">
        <f t="shared" si="8"/>
        <v>0</v>
      </c>
      <c r="AX37">
        <f t="shared" si="8"/>
        <v>1</v>
      </c>
      <c r="AY37">
        <f t="shared" si="8"/>
        <v>1</v>
      </c>
      <c r="AZ37">
        <f t="shared" si="8"/>
        <v>1</v>
      </c>
      <c r="BA37">
        <f t="shared" si="8"/>
        <v>1</v>
      </c>
      <c r="BB37">
        <f t="shared" si="8"/>
        <v>1</v>
      </c>
      <c r="BC37">
        <f t="shared" si="8"/>
        <v>1</v>
      </c>
      <c r="BD37">
        <f t="shared" si="8"/>
        <v>0</v>
      </c>
      <c r="BE37">
        <f t="shared" si="8"/>
        <v>0</v>
      </c>
      <c r="BF37">
        <f t="shared" si="8"/>
        <v>0</v>
      </c>
      <c r="BG37">
        <f t="shared" si="8"/>
        <v>1</v>
      </c>
      <c r="BH37">
        <f t="shared" si="8"/>
        <v>0</v>
      </c>
      <c r="BI37">
        <f t="shared" si="8"/>
        <v>1</v>
      </c>
      <c r="BJ37">
        <f t="shared" si="8"/>
        <v>1</v>
      </c>
      <c r="BK37">
        <f t="shared" si="8"/>
        <v>1</v>
      </c>
      <c r="BL37">
        <f t="shared" si="8"/>
        <v>0</v>
      </c>
      <c r="BM37">
        <f t="shared" si="8"/>
        <v>0</v>
      </c>
      <c r="BN37">
        <f t="shared" si="8"/>
        <v>0</v>
      </c>
      <c r="BO37">
        <f t="shared" ref="BO37:BU37" si="9">COUNTIF(BO$12, 0)</f>
        <v>0</v>
      </c>
      <c r="BP37">
        <f t="shared" si="9"/>
        <v>1</v>
      </c>
      <c r="BQ37">
        <f t="shared" si="9"/>
        <v>1</v>
      </c>
      <c r="BR37">
        <f t="shared" si="9"/>
        <v>0</v>
      </c>
      <c r="BS37">
        <f t="shared" si="9"/>
        <v>0</v>
      </c>
      <c r="BT37">
        <f t="shared" si="9"/>
        <v>0</v>
      </c>
      <c r="BU37">
        <f t="shared" si="9"/>
        <v>0</v>
      </c>
    </row>
    <row r="38" spans="1:74" x14ac:dyDescent="0.25">
      <c r="A38" t="s">
        <v>124</v>
      </c>
      <c r="B38">
        <f>COUNTIF(B$13, 0)</f>
        <v>1</v>
      </c>
      <c r="C38">
        <f t="shared" ref="C38:BN38" si="10">COUNTIF(C$13, 0)</f>
        <v>0</v>
      </c>
      <c r="D38">
        <f t="shared" si="10"/>
        <v>1</v>
      </c>
      <c r="E38">
        <f t="shared" si="10"/>
        <v>0</v>
      </c>
      <c r="F38">
        <f t="shared" si="10"/>
        <v>1</v>
      </c>
      <c r="G38">
        <f t="shared" si="10"/>
        <v>0</v>
      </c>
      <c r="H38">
        <f t="shared" si="10"/>
        <v>0</v>
      </c>
      <c r="I38">
        <f t="shared" si="10"/>
        <v>0</v>
      </c>
      <c r="J38">
        <f t="shared" si="10"/>
        <v>1</v>
      </c>
      <c r="K38">
        <f t="shared" si="10"/>
        <v>1</v>
      </c>
      <c r="L38">
        <f t="shared" si="10"/>
        <v>0</v>
      </c>
      <c r="M38">
        <f t="shared" si="10"/>
        <v>0</v>
      </c>
      <c r="N38">
        <f t="shared" si="10"/>
        <v>0</v>
      </c>
      <c r="O38">
        <f t="shared" si="10"/>
        <v>1</v>
      </c>
      <c r="P38">
        <f t="shared" si="10"/>
        <v>0</v>
      </c>
      <c r="Q38">
        <f t="shared" si="10"/>
        <v>1</v>
      </c>
      <c r="R38">
        <f t="shared" si="10"/>
        <v>0</v>
      </c>
      <c r="S38">
        <f t="shared" si="10"/>
        <v>1</v>
      </c>
      <c r="T38">
        <f t="shared" si="10"/>
        <v>0</v>
      </c>
      <c r="U38">
        <f t="shared" si="10"/>
        <v>1</v>
      </c>
      <c r="V38">
        <f t="shared" si="10"/>
        <v>0</v>
      </c>
      <c r="W38">
        <f t="shared" si="10"/>
        <v>0</v>
      </c>
      <c r="X38">
        <f t="shared" si="10"/>
        <v>0</v>
      </c>
      <c r="Y38">
        <f t="shared" si="10"/>
        <v>1</v>
      </c>
      <c r="Z38">
        <f t="shared" si="10"/>
        <v>1</v>
      </c>
      <c r="AA38">
        <f t="shared" si="10"/>
        <v>1</v>
      </c>
      <c r="AB38">
        <f t="shared" si="10"/>
        <v>0</v>
      </c>
      <c r="AC38">
        <f t="shared" si="10"/>
        <v>1</v>
      </c>
      <c r="AD38">
        <f t="shared" si="10"/>
        <v>1</v>
      </c>
      <c r="AE38">
        <f t="shared" si="10"/>
        <v>1</v>
      </c>
      <c r="AF38">
        <f t="shared" si="10"/>
        <v>1</v>
      </c>
      <c r="AG38">
        <f t="shared" si="10"/>
        <v>0</v>
      </c>
      <c r="AH38">
        <f t="shared" si="10"/>
        <v>0</v>
      </c>
      <c r="AI38">
        <f t="shared" si="10"/>
        <v>0</v>
      </c>
      <c r="AJ38">
        <f t="shared" si="10"/>
        <v>0</v>
      </c>
      <c r="AK38">
        <f t="shared" si="10"/>
        <v>1</v>
      </c>
      <c r="AL38">
        <f t="shared" si="10"/>
        <v>0</v>
      </c>
      <c r="AM38">
        <f t="shared" si="10"/>
        <v>1</v>
      </c>
      <c r="AN38">
        <f t="shared" si="10"/>
        <v>1</v>
      </c>
      <c r="AO38">
        <f t="shared" si="10"/>
        <v>1</v>
      </c>
      <c r="AP38">
        <f t="shared" si="10"/>
        <v>0</v>
      </c>
      <c r="AQ38">
        <f t="shared" si="10"/>
        <v>0</v>
      </c>
      <c r="AR38">
        <f t="shared" si="10"/>
        <v>1</v>
      </c>
      <c r="AS38">
        <f t="shared" si="10"/>
        <v>0</v>
      </c>
      <c r="AT38">
        <f t="shared" si="10"/>
        <v>1</v>
      </c>
      <c r="AU38">
        <f t="shared" si="10"/>
        <v>0</v>
      </c>
      <c r="AV38">
        <f t="shared" si="10"/>
        <v>0</v>
      </c>
      <c r="AW38">
        <f t="shared" si="10"/>
        <v>1</v>
      </c>
      <c r="AX38">
        <f t="shared" si="10"/>
        <v>1</v>
      </c>
      <c r="AY38">
        <f t="shared" si="10"/>
        <v>1</v>
      </c>
      <c r="AZ38">
        <f t="shared" si="10"/>
        <v>1</v>
      </c>
      <c r="BA38">
        <f t="shared" si="10"/>
        <v>1</v>
      </c>
      <c r="BB38">
        <f t="shared" si="10"/>
        <v>1</v>
      </c>
      <c r="BC38">
        <f t="shared" si="10"/>
        <v>0</v>
      </c>
      <c r="BD38">
        <f t="shared" si="10"/>
        <v>0</v>
      </c>
      <c r="BE38">
        <f t="shared" si="10"/>
        <v>0</v>
      </c>
      <c r="BF38">
        <f t="shared" si="10"/>
        <v>0</v>
      </c>
      <c r="BG38">
        <f t="shared" si="10"/>
        <v>1</v>
      </c>
      <c r="BH38">
        <f t="shared" si="10"/>
        <v>0</v>
      </c>
      <c r="BI38">
        <f t="shared" si="10"/>
        <v>1</v>
      </c>
      <c r="BJ38">
        <f t="shared" si="10"/>
        <v>1</v>
      </c>
      <c r="BK38">
        <f t="shared" si="10"/>
        <v>1</v>
      </c>
      <c r="BL38">
        <f t="shared" si="10"/>
        <v>1</v>
      </c>
      <c r="BM38">
        <f t="shared" si="10"/>
        <v>1</v>
      </c>
      <c r="BN38">
        <f t="shared" si="10"/>
        <v>1</v>
      </c>
      <c r="BO38">
        <f t="shared" ref="BO38:BU38" si="11">COUNTIF(BO$13, 0)</f>
        <v>0</v>
      </c>
      <c r="BP38">
        <f t="shared" si="11"/>
        <v>1</v>
      </c>
      <c r="BQ38">
        <f t="shared" si="11"/>
        <v>1</v>
      </c>
      <c r="BR38">
        <f t="shared" si="11"/>
        <v>1</v>
      </c>
      <c r="BS38">
        <f t="shared" si="11"/>
        <v>0</v>
      </c>
      <c r="BT38">
        <f t="shared" si="11"/>
        <v>0</v>
      </c>
      <c r="BU38">
        <f t="shared" si="11"/>
        <v>1</v>
      </c>
    </row>
    <row r="39" spans="1:74" x14ac:dyDescent="0.25">
      <c r="A39" t="s">
        <v>125</v>
      </c>
      <c r="B39">
        <f>COUNTIF(B$16, 0)</f>
        <v>0</v>
      </c>
      <c r="C39">
        <f t="shared" ref="C39:BN39" si="12">COUNTIF(C$16, 0)</f>
        <v>0</v>
      </c>
      <c r="D39">
        <f t="shared" si="12"/>
        <v>0</v>
      </c>
      <c r="E39">
        <f t="shared" si="12"/>
        <v>0</v>
      </c>
      <c r="F39">
        <f t="shared" si="12"/>
        <v>1</v>
      </c>
      <c r="G39">
        <f t="shared" si="12"/>
        <v>0</v>
      </c>
      <c r="H39">
        <f t="shared" si="12"/>
        <v>1</v>
      </c>
      <c r="I39">
        <f t="shared" si="12"/>
        <v>0</v>
      </c>
      <c r="J39">
        <f t="shared" si="12"/>
        <v>1</v>
      </c>
      <c r="K39">
        <f t="shared" si="12"/>
        <v>1</v>
      </c>
      <c r="L39">
        <f t="shared" si="12"/>
        <v>0</v>
      </c>
      <c r="M39">
        <f t="shared" si="12"/>
        <v>0</v>
      </c>
      <c r="N39">
        <f t="shared" si="12"/>
        <v>0</v>
      </c>
      <c r="O39">
        <f t="shared" si="12"/>
        <v>1</v>
      </c>
      <c r="P39">
        <f t="shared" si="12"/>
        <v>0</v>
      </c>
      <c r="Q39">
        <f t="shared" si="12"/>
        <v>1</v>
      </c>
      <c r="R39">
        <f t="shared" si="12"/>
        <v>0</v>
      </c>
      <c r="S39">
        <f t="shared" si="12"/>
        <v>1</v>
      </c>
      <c r="T39">
        <f t="shared" si="12"/>
        <v>0</v>
      </c>
      <c r="U39">
        <f t="shared" si="12"/>
        <v>0</v>
      </c>
      <c r="V39">
        <f t="shared" si="12"/>
        <v>1</v>
      </c>
      <c r="W39">
        <f t="shared" si="12"/>
        <v>1</v>
      </c>
      <c r="X39">
        <f t="shared" si="12"/>
        <v>0</v>
      </c>
      <c r="Y39">
        <f t="shared" si="12"/>
        <v>0</v>
      </c>
      <c r="Z39">
        <f t="shared" si="12"/>
        <v>0</v>
      </c>
      <c r="AA39">
        <f t="shared" si="12"/>
        <v>1</v>
      </c>
      <c r="AB39">
        <f t="shared" si="12"/>
        <v>0</v>
      </c>
      <c r="AC39">
        <f t="shared" si="12"/>
        <v>0</v>
      </c>
      <c r="AD39">
        <f t="shared" si="12"/>
        <v>1</v>
      </c>
      <c r="AE39">
        <f t="shared" si="12"/>
        <v>1</v>
      </c>
      <c r="AF39">
        <f t="shared" si="12"/>
        <v>1</v>
      </c>
      <c r="AG39">
        <f t="shared" si="12"/>
        <v>0</v>
      </c>
      <c r="AH39">
        <f t="shared" si="12"/>
        <v>0</v>
      </c>
      <c r="AI39">
        <f t="shared" si="12"/>
        <v>0</v>
      </c>
      <c r="AJ39">
        <f t="shared" si="12"/>
        <v>0</v>
      </c>
      <c r="AK39">
        <f t="shared" si="12"/>
        <v>0</v>
      </c>
      <c r="AL39">
        <f t="shared" si="12"/>
        <v>1</v>
      </c>
      <c r="AM39">
        <f t="shared" si="12"/>
        <v>1</v>
      </c>
      <c r="AN39">
        <f t="shared" si="12"/>
        <v>1</v>
      </c>
      <c r="AO39">
        <f t="shared" si="12"/>
        <v>1</v>
      </c>
      <c r="AP39">
        <f t="shared" si="12"/>
        <v>0</v>
      </c>
      <c r="AQ39">
        <f t="shared" si="12"/>
        <v>1</v>
      </c>
      <c r="AR39">
        <f t="shared" si="12"/>
        <v>0</v>
      </c>
      <c r="AS39">
        <f t="shared" si="12"/>
        <v>0</v>
      </c>
      <c r="AT39">
        <f t="shared" si="12"/>
        <v>1</v>
      </c>
      <c r="AU39">
        <f t="shared" si="12"/>
        <v>0</v>
      </c>
      <c r="AV39">
        <f t="shared" si="12"/>
        <v>0</v>
      </c>
      <c r="AW39">
        <f t="shared" si="12"/>
        <v>1</v>
      </c>
      <c r="AX39">
        <f t="shared" si="12"/>
        <v>1</v>
      </c>
      <c r="AY39">
        <f t="shared" si="12"/>
        <v>0</v>
      </c>
      <c r="AZ39">
        <f t="shared" si="12"/>
        <v>1</v>
      </c>
      <c r="BA39">
        <f t="shared" si="12"/>
        <v>0</v>
      </c>
      <c r="BB39">
        <f t="shared" si="12"/>
        <v>1</v>
      </c>
      <c r="BC39">
        <f t="shared" si="12"/>
        <v>0</v>
      </c>
      <c r="BD39">
        <f t="shared" si="12"/>
        <v>0</v>
      </c>
      <c r="BE39">
        <f t="shared" si="12"/>
        <v>0</v>
      </c>
      <c r="BF39">
        <f t="shared" si="12"/>
        <v>0</v>
      </c>
      <c r="BG39">
        <f t="shared" si="12"/>
        <v>1</v>
      </c>
      <c r="BH39">
        <f t="shared" si="12"/>
        <v>0</v>
      </c>
      <c r="BI39">
        <f t="shared" si="12"/>
        <v>1</v>
      </c>
      <c r="BJ39">
        <f t="shared" si="12"/>
        <v>1</v>
      </c>
      <c r="BK39">
        <f t="shared" si="12"/>
        <v>1</v>
      </c>
      <c r="BL39">
        <f t="shared" si="12"/>
        <v>1</v>
      </c>
      <c r="BM39">
        <f t="shared" si="12"/>
        <v>0</v>
      </c>
      <c r="BN39">
        <f t="shared" si="12"/>
        <v>0</v>
      </c>
      <c r="BO39">
        <f t="shared" ref="BO39:BU39" si="13">COUNTIF(BO$16, 0)</f>
        <v>1</v>
      </c>
      <c r="BP39">
        <f t="shared" si="13"/>
        <v>1</v>
      </c>
      <c r="BQ39">
        <f t="shared" si="13"/>
        <v>0</v>
      </c>
      <c r="BR39">
        <f t="shared" si="13"/>
        <v>0</v>
      </c>
      <c r="BS39">
        <f t="shared" si="13"/>
        <v>0</v>
      </c>
      <c r="BT39">
        <f t="shared" si="13"/>
        <v>1</v>
      </c>
      <c r="BU39">
        <f t="shared" si="13"/>
        <v>1</v>
      </c>
    </row>
    <row r="40" spans="1:74" x14ac:dyDescent="0.25">
      <c r="A40" t="s">
        <v>129</v>
      </c>
      <c r="B40">
        <f>B33-(B34+B35)</f>
        <v>3</v>
      </c>
      <c r="C40">
        <f t="shared" ref="C40:BN40" si="14">C33-(C34+C35)</f>
        <v>0</v>
      </c>
      <c r="D40">
        <f t="shared" si="14"/>
        <v>1</v>
      </c>
      <c r="E40">
        <f t="shared" si="14"/>
        <v>1</v>
      </c>
      <c r="F40">
        <f t="shared" si="14"/>
        <v>6</v>
      </c>
      <c r="G40">
        <f t="shared" si="14"/>
        <v>3</v>
      </c>
      <c r="H40">
        <f t="shared" si="14"/>
        <v>7</v>
      </c>
      <c r="I40">
        <f t="shared" si="14"/>
        <v>2</v>
      </c>
      <c r="J40">
        <f t="shared" si="14"/>
        <v>17</v>
      </c>
      <c r="K40">
        <f t="shared" si="14"/>
        <v>15</v>
      </c>
      <c r="L40">
        <f t="shared" si="14"/>
        <v>2</v>
      </c>
      <c r="M40">
        <f t="shared" si="14"/>
        <v>0</v>
      </c>
      <c r="N40">
        <f t="shared" si="14"/>
        <v>0</v>
      </c>
      <c r="O40">
        <f t="shared" si="14"/>
        <v>7</v>
      </c>
      <c r="P40">
        <f t="shared" si="14"/>
        <v>3</v>
      </c>
      <c r="Q40">
        <f t="shared" si="14"/>
        <v>6</v>
      </c>
      <c r="R40">
        <f t="shared" si="14"/>
        <v>0</v>
      </c>
      <c r="S40">
        <f t="shared" si="14"/>
        <v>7</v>
      </c>
      <c r="T40">
        <f t="shared" si="14"/>
        <v>0</v>
      </c>
      <c r="U40">
        <f t="shared" si="14"/>
        <v>5</v>
      </c>
      <c r="V40">
        <f t="shared" si="14"/>
        <v>5</v>
      </c>
      <c r="W40">
        <f t="shared" si="14"/>
        <v>3</v>
      </c>
      <c r="X40">
        <f t="shared" si="14"/>
        <v>0</v>
      </c>
      <c r="Y40">
        <f t="shared" si="14"/>
        <v>4</v>
      </c>
      <c r="Z40">
        <f t="shared" si="14"/>
        <v>6</v>
      </c>
      <c r="AA40">
        <f t="shared" si="14"/>
        <v>13</v>
      </c>
      <c r="AB40">
        <f t="shared" si="14"/>
        <v>0</v>
      </c>
      <c r="AC40">
        <f t="shared" si="14"/>
        <v>1</v>
      </c>
      <c r="AD40">
        <f t="shared" si="14"/>
        <v>7</v>
      </c>
      <c r="AE40">
        <f t="shared" si="14"/>
        <v>11</v>
      </c>
      <c r="AF40">
        <f t="shared" si="14"/>
        <v>7</v>
      </c>
      <c r="AG40">
        <f t="shared" si="14"/>
        <v>0</v>
      </c>
      <c r="AH40">
        <f t="shared" si="14"/>
        <v>1</v>
      </c>
      <c r="AI40">
        <f t="shared" si="14"/>
        <v>1</v>
      </c>
      <c r="AJ40">
        <f t="shared" si="14"/>
        <v>2</v>
      </c>
      <c r="AK40">
        <f t="shared" si="14"/>
        <v>8</v>
      </c>
      <c r="AL40">
        <f t="shared" si="14"/>
        <v>9</v>
      </c>
      <c r="AM40">
        <f t="shared" si="14"/>
        <v>11</v>
      </c>
      <c r="AN40">
        <f t="shared" si="14"/>
        <v>11</v>
      </c>
      <c r="AO40">
        <f t="shared" si="14"/>
        <v>11</v>
      </c>
      <c r="AP40">
        <f t="shared" si="14"/>
        <v>6</v>
      </c>
      <c r="AQ40">
        <f t="shared" si="14"/>
        <v>8</v>
      </c>
      <c r="AR40">
        <f t="shared" si="14"/>
        <v>11</v>
      </c>
      <c r="AS40">
        <f t="shared" si="14"/>
        <v>1</v>
      </c>
      <c r="AT40">
        <f t="shared" si="14"/>
        <v>7</v>
      </c>
      <c r="AU40">
        <f t="shared" si="14"/>
        <v>5</v>
      </c>
      <c r="AV40">
        <f t="shared" si="14"/>
        <v>0</v>
      </c>
      <c r="AW40">
        <f t="shared" si="14"/>
        <v>7</v>
      </c>
      <c r="AX40">
        <f t="shared" si="14"/>
        <v>6</v>
      </c>
      <c r="AY40">
        <f t="shared" si="14"/>
        <v>8</v>
      </c>
      <c r="AZ40">
        <f t="shared" si="14"/>
        <v>18</v>
      </c>
      <c r="BA40">
        <f t="shared" si="14"/>
        <v>10</v>
      </c>
      <c r="BB40">
        <f t="shared" si="14"/>
        <v>11</v>
      </c>
      <c r="BC40">
        <f t="shared" si="14"/>
        <v>2</v>
      </c>
      <c r="BD40">
        <f t="shared" si="14"/>
        <v>1</v>
      </c>
      <c r="BE40">
        <f t="shared" si="14"/>
        <v>0</v>
      </c>
      <c r="BF40">
        <f t="shared" si="14"/>
        <v>0</v>
      </c>
      <c r="BG40">
        <f t="shared" si="14"/>
        <v>6</v>
      </c>
      <c r="BH40">
        <f t="shared" si="14"/>
        <v>1</v>
      </c>
      <c r="BI40">
        <f t="shared" si="14"/>
        <v>8</v>
      </c>
      <c r="BJ40">
        <f t="shared" si="14"/>
        <v>7</v>
      </c>
      <c r="BK40">
        <f t="shared" si="14"/>
        <v>25</v>
      </c>
      <c r="BL40">
        <f t="shared" si="14"/>
        <v>8</v>
      </c>
      <c r="BM40">
        <f t="shared" si="14"/>
        <v>5</v>
      </c>
      <c r="BN40">
        <f t="shared" si="14"/>
        <v>2</v>
      </c>
      <c r="BO40">
        <f t="shared" ref="BO40:BU40" si="15">BO33-(BO34+BO35)</f>
        <v>3</v>
      </c>
      <c r="BP40">
        <f t="shared" si="15"/>
        <v>4</v>
      </c>
      <c r="BQ40">
        <f t="shared" si="15"/>
        <v>3</v>
      </c>
      <c r="BR40">
        <f t="shared" si="15"/>
        <v>5</v>
      </c>
      <c r="BS40">
        <f t="shared" si="15"/>
        <v>5</v>
      </c>
      <c r="BT40">
        <f t="shared" si="15"/>
        <v>3</v>
      </c>
      <c r="BU40">
        <f t="shared" si="15"/>
        <v>4</v>
      </c>
    </row>
    <row r="41" spans="1:74" x14ac:dyDescent="0.25">
      <c r="A41" t="s">
        <v>130</v>
      </c>
      <c r="B41">
        <f>B33-(B34+B35+B36+B37+B38+B39)</f>
        <v>2</v>
      </c>
      <c r="C41">
        <f t="shared" ref="C41:BN41" si="16">C33-(C34+C35+C36+C37+C38+C39)</f>
        <v>0</v>
      </c>
      <c r="D41">
        <f t="shared" si="16"/>
        <v>0</v>
      </c>
      <c r="E41">
        <f t="shared" si="16"/>
        <v>1</v>
      </c>
      <c r="F41">
        <f t="shared" si="16"/>
        <v>3</v>
      </c>
      <c r="G41">
        <f t="shared" si="16"/>
        <v>3</v>
      </c>
      <c r="H41">
        <f t="shared" si="16"/>
        <v>4</v>
      </c>
      <c r="I41">
        <f t="shared" si="16"/>
        <v>2</v>
      </c>
      <c r="J41">
        <f t="shared" si="16"/>
        <v>14</v>
      </c>
      <c r="K41">
        <f t="shared" si="16"/>
        <v>11</v>
      </c>
      <c r="L41">
        <f t="shared" si="16"/>
        <v>2</v>
      </c>
      <c r="M41">
        <f t="shared" si="16"/>
        <v>0</v>
      </c>
      <c r="N41">
        <f t="shared" si="16"/>
        <v>0</v>
      </c>
      <c r="O41">
        <f t="shared" si="16"/>
        <v>4</v>
      </c>
      <c r="P41">
        <f t="shared" si="16"/>
        <v>3</v>
      </c>
      <c r="Q41">
        <f t="shared" si="16"/>
        <v>2</v>
      </c>
      <c r="R41">
        <f t="shared" si="16"/>
        <v>0</v>
      </c>
      <c r="S41">
        <f t="shared" si="16"/>
        <v>4</v>
      </c>
      <c r="T41">
        <f t="shared" si="16"/>
        <v>0</v>
      </c>
      <c r="U41">
        <f t="shared" si="16"/>
        <v>2</v>
      </c>
      <c r="V41">
        <f t="shared" si="16"/>
        <v>2</v>
      </c>
      <c r="W41">
        <f t="shared" si="16"/>
        <v>1</v>
      </c>
      <c r="X41">
        <f t="shared" si="16"/>
        <v>0</v>
      </c>
      <c r="Y41">
        <f t="shared" si="16"/>
        <v>2</v>
      </c>
      <c r="Z41">
        <f t="shared" si="16"/>
        <v>3</v>
      </c>
      <c r="AA41">
        <f t="shared" si="16"/>
        <v>10</v>
      </c>
      <c r="AB41">
        <f t="shared" si="16"/>
        <v>0</v>
      </c>
      <c r="AC41">
        <f t="shared" si="16"/>
        <v>0</v>
      </c>
      <c r="AD41">
        <f t="shared" si="16"/>
        <v>3</v>
      </c>
      <c r="AE41">
        <f t="shared" si="16"/>
        <v>7</v>
      </c>
      <c r="AF41">
        <f t="shared" si="16"/>
        <v>3</v>
      </c>
      <c r="AG41">
        <f t="shared" si="16"/>
        <v>0</v>
      </c>
      <c r="AH41">
        <f t="shared" si="16"/>
        <v>1</v>
      </c>
      <c r="AI41">
        <f t="shared" si="16"/>
        <v>1</v>
      </c>
      <c r="AJ41">
        <f t="shared" si="16"/>
        <v>1</v>
      </c>
      <c r="AK41">
        <f t="shared" si="16"/>
        <v>6</v>
      </c>
      <c r="AL41">
        <f t="shared" si="16"/>
        <v>7</v>
      </c>
      <c r="AM41">
        <f t="shared" si="16"/>
        <v>8</v>
      </c>
      <c r="AN41">
        <f t="shared" si="16"/>
        <v>8</v>
      </c>
      <c r="AO41">
        <f t="shared" si="16"/>
        <v>7</v>
      </c>
      <c r="AP41">
        <f t="shared" si="16"/>
        <v>5</v>
      </c>
      <c r="AQ41">
        <f t="shared" si="16"/>
        <v>6</v>
      </c>
      <c r="AR41">
        <f t="shared" si="16"/>
        <v>9</v>
      </c>
      <c r="AS41">
        <f t="shared" si="16"/>
        <v>1</v>
      </c>
      <c r="AT41">
        <f t="shared" si="16"/>
        <v>3</v>
      </c>
      <c r="AU41">
        <f t="shared" si="16"/>
        <v>4</v>
      </c>
      <c r="AV41">
        <f t="shared" si="16"/>
        <v>0</v>
      </c>
      <c r="AW41">
        <f t="shared" si="16"/>
        <v>4</v>
      </c>
      <c r="AX41">
        <f t="shared" si="16"/>
        <v>2</v>
      </c>
      <c r="AY41">
        <f t="shared" si="16"/>
        <v>6</v>
      </c>
      <c r="AZ41">
        <f t="shared" si="16"/>
        <v>14</v>
      </c>
      <c r="BA41">
        <f t="shared" si="16"/>
        <v>7</v>
      </c>
      <c r="BB41">
        <f t="shared" si="16"/>
        <v>7</v>
      </c>
      <c r="BC41">
        <f t="shared" si="16"/>
        <v>1</v>
      </c>
      <c r="BD41">
        <f t="shared" si="16"/>
        <v>1</v>
      </c>
      <c r="BE41">
        <f t="shared" si="16"/>
        <v>0</v>
      </c>
      <c r="BF41">
        <f t="shared" si="16"/>
        <v>0</v>
      </c>
      <c r="BG41">
        <f t="shared" si="16"/>
        <v>2</v>
      </c>
      <c r="BH41">
        <f t="shared" si="16"/>
        <v>1</v>
      </c>
      <c r="BI41">
        <f t="shared" si="16"/>
        <v>4</v>
      </c>
      <c r="BJ41">
        <f t="shared" si="16"/>
        <v>3</v>
      </c>
      <c r="BK41">
        <f t="shared" si="16"/>
        <v>21</v>
      </c>
      <c r="BL41">
        <f t="shared" si="16"/>
        <v>5</v>
      </c>
      <c r="BM41">
        <f t="shared" si="16"/>
        <v>3</v>
      </c>
      <c r="BN41">
        <f t="shared" si="16"/>
        <v>0</v>
      </c>
      <c r="BO41">
        <f t="shared" ref="BO41:BU41" si="17">BO33-(BO34+BO35+BO36+BO37+BO38+BO39)</f>
        <v>2</v>
      </c>
      <c r="BP41">
        <f t="shared" si="17"/>
        <v>0</v>
      </c>
      <c r="BQ41">
        <f t="shared" si="17"/>
        <v>1</v>
      </c>
      <c r="BR41">
        <f t="shared" si="17"/>
        <v>3</v>
      </c>
      <c r="BS41">
        <f t="shared" si="17"/>
        <v>5</v>
      </c>
      <c r="BT41">
        <f t="shared" si="17"/>
        <v>2</v>
      </c>
      <c r="BU41">
        <f t="shared" si="17"/>
        <v>2</v>
      </c>
    </row>
    <row r="42" spans="1:74" x14ac:dyDescent="0.25">
      <c r="A42" t="s">
        <v>133</v>
      </c>
      <c r="B42">
        <f>28-2</f>
        <v>26</v>
      </c>
      <c r="C42">
        <f t="shared" ref="C42:BN42" si="18">28-2</f>
        <v>26</v>
      </c>
      <c r="D42">
        <f t="shared" si="18"/>
        <v>26</v>
      </c>
      <c r="E42">
        <f t="shared" si="18"/>
        <v>26</v>
      </c>
      <c r="F42">
        <f t="shared" si="18"/>
        <v>26</v>
      </c>
      <c r="G42">
        <f t="shared" si="18"/>
        <v>26</v>
      </c>
      <c r="H42">
        <f t="shared" si="18"/>
        <v>26</v>
      </c>
      <c r="I42">
        <f t="shared" si="18"/>
        <v>26</v>
      </c>
      <c r="J42">
        <f t="shared" si="18"/>
        <v>26</v>
      </c>
      <c r="K42">
        <f t="shared" si="18"/>
        <v>26</v>
      </c>
      <c r="L42">
        <f t="shared" si="18"/>
        <v>26</v>
      </c>
      <c r="M42">
        <f t="shared" si="18"/>
        <v>26</v>
      </c>
      <c r="N42">
        <f t="shared" si="18"/>
        <v>26</v>
      </c>
      <c r="O42">
        <f t="shared" si="18"/>
        <v>26</v>
      </c>
      <c r="P42">
        <f t="shared" si="18"/>
        <v>26</v>
      </c>
      <c r="Q42">
        <f t="shared" si="18"/>
        <v>26</v>
      </c>
      <c r="R42">
        <f t="shared" si="18"/>
        <v>26</v>
      </c>
      <c r="S42">
        <f t="shared" si="18"/>
        <v>26</v>
      </c>
      <c r="T42">
        <f t="shared" si="18"/>
        <v>26</v>
      </c>
      <c r="U42">
        <f t="shared" si="18"/>
        <v>26</v>
      </c>
      <c r="V42">
        <f t="shared" si="18"/>
        <v>26</v>
      </c>
      <c r="W42">
        <f t="shared" si="18"/>
        <v>26</v>
      </c>
      <c r="X42">
        <f t="shared" si="18"/>
        <v>26</v>
      </c>
      <c r="Y42">
        <f t="shared" si="18"/>
        <v>26</v>
      </c>
      <c r="Z42">
        <f t="shared" si="18"/>
        <v>26</v>
      </c>
      <c r="AA42">
        <f t="shared" si="18"/>
        <v>26</v>
      </c>
      <c r="AB42">
        <f t="shared" si="18"/>
        <v>26</v>
      </c>
      <c r="AC42">
        <f t="shared" si="18"/>
        <v>26</v>
      </c>
      <c r="AD42">
        <f t="shared" si="18"/>
        <v>26</v>
      </c>
      <c r="AE42">
        <f t="shared" si="18"/>
        <v>26</v>
      </c>
      <c r="AF42">
        <f t="shared" si="18"/>
        <v>26</v>
      </c>
      <c r="AG42">
        <f t="shared" si="18"/>
        <v>26</v>
      </c>
      <c r="AH42">
        <f t="shared" si="18"/>
        <v>26</v>
      </c>
      <c r="AI42">
        <f t="shared" si="18"/>
        <v>26</v>
      </c>
      <c r="AJ42">
        <f t="shared" si="18"/>
        <v>26</v>
      </c>
      <c r="AK42">
        <f t="shared" si="18"/>
        <v>26</v>
      </c>
      <c r="AL42">
        <f t="shared" si="18"/>
        <v>26</v>
      </c>
      <c r="AM42">
        <f t="shared" si="18"/>
        <v>26</v>
      </c>
      <c r="AN42">
        <f t="shared" si="18"/>
        <v>26</v>
      </c>
      <c r="AO42">
        <f t="shared" si="18"/>
        <v>26</v>
      </c>
      <c r="AP42">
        <f t="shared" si="18"/>
        <v>26</v>
      </c>
      <c r="AQ42">
        <f t="shared" si="18"/>
        <v>26</v>
      </c>
      <c r="AR42">
        <f t="shared" si="18"/>
        <v>26</v>
      </c>
      <c r="AS42">
        <f t="shared" si="18"/>
        <v>26</v>
      </c>
      <c r="AT42">
        <f t="shared" si="18"/>
        <v>26</v>
      </c>
      <c r="AU42">
        <f t="shared" si="18"/>
        <v>26</v>
      </c>
      <c r="AV42">
        <f t="shared" si="18"/>
        <v>26</v>
      </c>
      <c r="AW42">
        <f t="shared" si="18"/>
        <v>26</v>
      </c>
      <c r="AX42">
        <f t="shared" si="18"/>
        <v>26</v>
      </c>
      <c r="AY42">
        <f t="shared" si="18"/>
        <v>26</v>
      </c>
      <c r="AZ42">
        <f t="shared" si="18"/>
        <v>26</v>
      </c>
      <c r="BA42">
        <f t="shared" si="18"/>
        <v>26</v>
      </c>
      <c r="BB42">
        <f t="shared" si="18"/>
        <v>26</v>
      </c>
      <c r="BC42">
        <f t="shared" si="18"/>
        <v>26</v>
      </c>
      <c r="BD42">
        <f t="shared" si="18"/>
        <v>26</v>
      </c>
      <c r="BE42">
        <f t="shared" si="18"/>
        <v>26</v>
      </c>
      <c r="BF42">
        <f t="shared" si="18"/>
        <v>26</v>
      </c>
      <c r="BG42">
        <f t="shared" si="18"/>
        <v>26</v>
      </c>
      <c r="BH42">
        <f t="shared" si="18"/>
        <v>26</v>
      </c>
      <c r="BI42">
        <f t="shared" si="18"/>
        <v>26</v>
      </c>
      <c r="BJ42">
        <f t="shared" si="18"/>
        <v>26</v>
      </c>
      <c r="BK42">
        <f t="shared" si="18"/>
        <v>26</v>
      </c>
      <c r="BL42">
        <f t="shared" si="18"/>
        <v>26</v>
      </c>
      <c r="BM42">
        <f t="shared" si="18"/>
        <v>26</v>
      </c>
      <c r="BN42">
        <f t="shared" si="18"/>
        <v>26</v>
      </c>
      <c r="BO42">
        <f t="shared" ref="BO42:BU42" si="19">28-2</f>
        <v>26</v>
      </c>
      <c r="BP42">
        <f t="shared" si="19"/>
        <v>26</v>
      </c>
      <c r="BQ42">
        <f t="shared" si="19"/>
        <v>26</v>
      </c>
      <c r="BR42">
        <f t="shared" si="19"/>
        <v>26</v>
      </c>
      <c r="BS42">
        <f t="shared" si="19"/>
        <v>26</v>
      </c>
      <c r="BT42">
        <f t="shared" si="19"/>
        <v>26</v>
      </c>
      <c r="BU42">
        <f t="shared" si="19"/>
        <v>26</v>
      </c>
    </row>
    <row r="43" spans="1:74" x14ac:dyDescent="0.25">
      <c r="A43" t="s">
        <v>134</v>
      </c>
      <c r="B43">
        <f>28-6</f>
        <v>22</v>
      </c>
      <c r="C43">
        <f t="shared" ref="C43:BN43" si="20">28-6</f>
        <v>22</v>
      </c>
      <c r="D43">
        <f t="shared" si="20"/>
        <v>22</v>
      </c>
      <c r="E43">
        <f t="shared" si="20"/>
        <v>22</v>
      </c>
      <c r="F43">
        <f t="shared" si="20"/>
        <v>22</v>
      </c>
      <c r="G43">
        <f t="shared" si="20"/>
        <v>22</v>
      </c>
      <c r="H43">
        <f t="shared" si="20"/>
        <v>22</v>
      </c>
      <c r="I43">
        <f t="shared" si="20"/>
        <v>22</v>
      </c>
      <c r="J43">
        <f t="shared" si="20"/>
        <v>22</v>
      </c>
      <c r="K43">
        <f t="shared" si="20"/>
        <v>22</v>
      </c>
      <c r="L43">
        <f t="shared" si="20"/>
        <v>22</v>
      </c>
      <c r="M43">
        <f t="shared" si="20"/>
        <v>22</v>
      </c>
      <c r="N43">
        <f t="shared" si="20"/>
        <v>22</v>
      </c>
      <c r="O43">
        <f t="shared" si="20"/>
        <v>22</v>
      </c>
      <c r="P43">
        <f t="shared" si="20"/>
        <v>22</v>
      </c>
      <c r="Q43">
        <f t="shared" si="20"/>
        <v>22</v>
      </c>
      <c r="R43">
        <f t="shared" si="20"/>
        <v>22</v>
      </c>
      <c r="S43">
        <f t="shared" si="20"/>
        <v>22</v>
      </c>
      <c r="T43">
        <f t="shared" si="20"/>
        <v>22</v>
      </c>
      <c r="U43">
        <f t="shared" si="20"/>
        <v>22</v>
      </c>
      <c r="V43">
        <f t="shared" si="20"/>
        <v>22</v>
      </c>
      <c r="W43">
        <f t="shared" si="20"/>
        <v>22</v>
      </c>
      <c r="X43">
        <f t="shared" si="20"/>
        <v>22</v>
      </c>
      <c r="Y43">
        <f t="shared" si="20"/>
        <v>22</v>
      </c>
      <c r="Z43">
        <f t="shared" si="20"/>
        <v>22</v>
      </c>
      <c r="AA43">
        <f t="shared" si="20"/>
        <v>22</v>
      </c>
      <c r="AB43">
        <f t="shared" si="20"/>
        <v>22</v>
      </c>
      <c r="AC43">
        <f t="shared" si="20"/>
        <v>22</v>
      </c>
      <c r="AD43">
        <f t="shared" si="20"/>
        <v>22</v>
      </c>
      <c r="AE43">
        <f t="shared" si="20"/>
        <v>22</v>
      </c>
      <c r="AF43">
        <f t="shared" si="20"/>
        <v>22</v>
      </c>
      <c r="AG43">
        <f t="shared" si="20"/>
        <v>22</v>
      </c>
      <c r="AH43">
        <f t="shared" si="20"/>
        <v>22</v>
      </c>
      <c r="AI43">
        <f t="shared" si="20"/>
        <v>22</v>
      </c>
      <c r="AJ43">
        <f t="shared" si="20"/>
        <v>22</v>
      </c>
      <c r="AK43">
        <f t="shared" si="20"/>
        <v>22</v>
      </c>
      <c r="AL43">
        <f t="shared" si="20"/>
        <v>22</v>
      </c>
      <c r="AM43">
        <f t="shared" si="20"/>
        <v>22</v>
      </c>
      <c r="AN43">
        <f t="shared" si="20"/>
        <v>22</v>
      </c>
      <c r="AO43">
        <f t="shared" si="20"/>
        <v>22</v>
      </c>
      <c r="AP43">
        <f t="shared" si="20"/>
        <v>22</v>
      </c>
      <c r="AQ43">
        <f t="shared" si="20"/>
        <v>22</v>
      </c>
      <c r="AR43">
        <f t="shared" si="20"/>
        <v>22</v>
      </c>
      <c r="AS43">
        <f t="shared" si="20"/>
        <v>22</v>
      </c>
      <c r="AT43">
        <f t="shared" si="20"/>
        <v>22</v>
      </c>
      <c r="AU43">
        <f t="shared" si="20"/>
        <v>22</v>
      </c>
      <c r="AV43">
        <f t="shared" si="20"/>
        <v>22</v>
      </c>
      <c r="AW43">
        <f t="shared" si="20"/>
        <v>22</v>
      </c>
      <c r="AX43">
        <f t="shared" si="20"/>
        <v>22</v>
      </c>
      <c r="AY43">
        <f t="shared" si="20"/>
        <v>22</v>
      </c>
      <c r="AZ43">
        <f t="shared" si="20"/>
        <v>22</v>
      </c>
      <c r="BA43">
        <f t="shared" si="20"/>
        <v>22</v>
      </c>
      <c r="BB43">
        <f t="shared" si="20"/>
        <v>22</v>
      </c>
      <c r="BC43">
        <f t="shared" si="20"/>
        <v>22</v>
      </c>
      <c r="BD43">
        <f t="shared" si="20"/>
        <v>22</v>
      </c>
      <c r="BE43">
        <f t="shared" si="20"/>
        <v>22</v>
      </c>
      <c r="BF43">
        <f t="shared" si="20"/>
        <v>22</v>
      </c>
      <c r="BG43">
        <f t="shared" si="20"/>
        <v>22</v>
      </c>
      <c r="BH43">
        <f t="shared" si="20"/>
        <v>22</v>
      </c>
      <c r="BI43">
        <f t="shared" si="20"/>
        <v>22</v>
      </c>
      <c r="BJ43">
        <f t="shared" si="20"/>
        <v>22</v>
      </c>
      <c r="BK43">
        <f t="shared" si="20"/>
        <v>22</v>
      </c>
      <c r="BL43">
        <f t="shared" si="20"/>
        <v>22</v>
      </c>
      <c r="BM43">
        <f t="shared" si="20"/>
        <v>22</v>
      </c>
      <c r="BN43">
        <f t="shared" si="20"/>
        <v>22</v>
      </c>
      <c r="BO43">
        <f t="shared" ref="BO43:BU43" si="21">28-6</f>
        <v>22</v>
      </c>
      <c r="BP43">
        <f t="shared" si="21"/>
        <v>22</v>
      </c>
      <c r="BQ43">
        <f t="shared" si="21"/>
        <v>22</v>
      </c>
      <c r="BR43">
        <f t="shared" si="21"/>
        <v>22</v>
      </c>
      <c r="BS43">
        <f t="shared" si="21"/>
        <v>22</v>
      </c>
      <c r="BT43">
        <f t="shared" si="21"/>
        <v>22</v>
      </c>
      <c r="BU43">
        <f t="shared" si="21"/>
        <v>22</v>
      </c>
    </row>
    <row r="44" spans="1:74" x14ac:dyDescent="0.25">
      <c r="A44" t="s">
        <v>135</v>
      </c>
      <c r="B44">
        <f>(B40/B42)*100</f>
        <v>11.538461538461538</v>
      </c>
      <c r="C44">
        <f t="shared" ref="C44:BN44" si="22">(C40/C42)*100</f>
        <v>0</v>
      </c>
      <c r="D44">
        <f t="shared" si="22"/>
        <v>3.8461538461538463</v>
      </c>
      <c r="E44">
        <f t="shared" si="22"/>
        <v>3.8461538461538463</v>
      </c>
      <c r="F44">
        <f t="shared" si="22"/>
        <v>23.076923076923077</v>
      </c>
      <c r="G44">
        <f t="shared" si="22"/>
        <v>11.538461538461538</v>
      </c>
      <c r="H44">
        <f t="shared" si="22"/>
        <v>26.923076923076923</v>
      </c>
      <c r="I44">
        <f t="shared" si="22"/>
        <v>7.6923076923076925</v>
      </c>
      <c r="J44">
        <f t="shared" si="22"/>
        <v>65.384615384615387</v>
      </c>
      <c r="K44">
        <f t="shared" si="22"/>
        <v>57.692307692307686</v>
      </c>
      <c r="L44">
        <f t="shared" si="22"/>
        <v>7.6923076923076925</v>
      </c>
      <c r="M44">
        <f t="shared" si="22"/>
        <v>0</v>
      </c>
      <c r="N44">
        <f t="shared" si="22"/>
        <v>0</v>
      </c>
      <c r="O44">
        <f t="shared" si="22"/>
        <v>26.923076923076923</v>
      </c>
      <c r="P44">
        <f t="shared" si="22"/>
        <v>11.538461538461538</v>
      </c>
      <c r="Q44">
        <f t="shared" si="22"/>
        <v>23.076923076923077</v>
      </c>
      <c r="R44">
        <f t="shared" si="22"/>
        <v>0</v>
      </c>
      <c r="S44">
        <f t="shared" si="22"/>
        <v>26.923076923076923</v>
      </c>
      <c r="T44">
        <f t="shared" si="22"/>
        <v>0</v>
      </c>
      <c r="U44">
        <f t="shared" si="22"/>
        <v>19.230769230769234</v>
      </c>
      <c r="V44">
        <f t="shared" si="22"/>
        <v>19.230769230769234</v>
      </c>
      <c r="W44">
        <f t="shared" si="22"/>
        <v>11.538461538461538</v>
      </c>
      <c r="X44">
        <f t="shared" si="22"/>
        <v>0</v>
      </c>
      <c r="Y44">
        <f t="shared" si="22"/>
        <v>15.384615384615385</v>
      </c>
      <c r="Z44">
        <f t="shared" si="22"/>
        <v>23.076923076923077</v>
      </c>
      <c r="AA44">
        <f t="shared" si="22"/>
        <v>50</v>
      </c>
      <c r="AB44">
        <f t="shared" si="22"/>
        <v>0</v>
      </c>
      <c r="AC44">
        <f t="shared" si="22"/>
        <v>3.8461538461538463</v>
      </c>
      <c r="AD44">
        <f t="shared" si="22"/>
        <v>26.923076923076923</v>
      </c>
      <c r="AE44">
        <f t="shared" si="22"/>
        <v>42.307692307692307</v>
      </c>
      <c r="AF44">
        <f t="shared" si="22"/>
        <v>26.923076923076923</v>
      </c>
      <c r="AG44">
        <f t="shared" si="22"/>
        <v>0</v>
      </c>
      <c r="AH44">
        <f t="shared" si="22"/>
        <v>3.8461538461538463</v>
      </c>
      <c r="AI44">
        <f t="shared" si="22"/>
        <v>3.8461538461538463</v>
      </c>
      <c r="AJ44">
        <f t="shared" si="22"/>
        <v>7.6923076923076925</v>
      </c>
      <c r="AK44">
        <f t="shared" si="22"/>
        <v>30.76923076923077</v>
      </c>
      <c r="AL44">
        <f t="shared" si="22"/>
        <v>34.615384615384613</v>
      </c>
      <c r="AM44">
        <f t="shared" si="22"/>
        <v>42.307692307692307</v>
      </c>
      <c r="AN44">
        <f t="shared" si="22"/>
        <v>42.307692307692307</v>
      </c>
      <c r="AO44">
        <f t="shared" si="22"/>
        <v>42.307692307692307</v>
      </c>
      <c r="AP44">
        <f t="shared" si="22"/>
        <v>23.076923076923077</v>
      </c>
      <c r="AQ44">
        <f t="shared" si="22"/>
        <v>30.76923076923077</v>
      </c>
      <c r="AR44">
        <f t="shared" si="22"/>
        <v>42.307692307692307</v>
      </c>
      <c r="AS44">
        <f t="shared" si="22"/>
        <v>3.8461538461538463</v>
      </c>
      <c r="AT44">
        <f t="shared" si="22"/>
        <v>26.923076923076923</v>
      </c>
      <c r="AU44">
        <f t="shared" si="22"/>
        <v>19.230769230769234</v>
      </c>
      <c r="AV44">
        <f t="shared" si="22"/>
        <v>0</v>
      </c>
      <c r="AW44">
        <f t="shared" si="22"/>
        <v>26.923076923076923</v>
      </c>
      <c r="AX44">
        <f t="shared" si="22"/>
        <v>23.076923076923077</v>
      </c>
      <c r="AY44">
        <f t="shared" si="22"/>
        <v>30.76923076923077</v>
      </c>
      <c r="AZ44">
        <f t="shared" si="22"/>
        <v>69.230769230769226</v>
      </c>
      <c r="BA44">
        <f t="shared" si="22"/>
        <v>38.461538461538467</v>
      </c>
      <c r="BB44">
        <f t="shared" si="22"/>
        <v>42.307692307692307</v>
      </c>
      <c r="BC44">
        <f t="shared" si="22"/>
        <v>7.6923076923076925</v>
      </c>
      <c r="BD44">
        <f t="shared" si="22"/>
        <v>3.8461538461538463</v>
      </c>
      <c r="BE44">
        <f t="shared" si="22"/>
        <v>0</v>
      </c>
      <c r="BF44">
        <f t="shared" si="22"/>
        <v>0</v>
      </c>
      <c r="BG44">
        <f t="shared" si="22"/>
        <v>23.076923076923077</v>
      </c>
      <c r="BH44">
        <f t="shared" si="22"/>
        <v>3.8461538461538463</v>
      </c>
      <c r="BI44">
        <f t="shared" si="22"/>
        <v>30.76923076923077</v>
      </c>
      <c r="BJ44">
        <f t="shared" si="22"/>
        <v>26.923076923076923</v>
      </c>
      <c r="BK44">
        <f t="shared" si="22"/>
        <v>96.15384615384616</v>
      </c>
      <c r="BL44">
        <f t="shared" si="22"/>
        <v>30.76923076923077</v>
      </c>
      <c r="BM44">
        <f t="shared" si="22"/>
        <v>19.230769230769234</v>
      </c>
      <c r="BN44">
        <f t="shared" si="22"/>
        <v>7.6923076923076925</v>
      </c>
      <c r="BO44">
        <f t="shared" ref="BO44:BT44" si="23">(BO40/BO42)*100</f>
        <v>11.538461538461538</v>
      </c>
      <c r="BP44">
        <f t="shared" si="23"/>
        <v>15.384615384615385</v>
      </c>
      <c r="BQ44">
        <f t="shared" si="23"/>
        <v>11.538461538461538</v>
      </c>
      <c r="BR44">
        <f t="shared" si="23"/>
        <v>19.230769230769234</v>
      </c>
      <c r="BS44">
        <f t="shared" si="23"/>
        <v>19.230769230769234</v>
      </c>
      <c r="BT44">
        <f t="shared" si="23"/>
        <v>11.538461538461538</v>
      </c>
      <c r="BU44">
        <f>(BU40/BU42)*100</f>
        <v>15.384615384615385</v>
      </c>
      <c r="BV44">
        <f>AVERAGE(B44:BU44)</f>
        <v>20.619658119658112</v>
      </c>
    </row>
    <row r="45" spans="1:74" x14ac:dyDescent="0.25">
      <c r="A45" t="s">
        <v>136</v>
      </c>
      <c r="B45">
        <f>(B41/B43)*100</f>
        <v>9.0909090909090917</v>
      </c>
      <c r="C45">
        <f t="shared" ref="C45:BN45" si="24">(C41/C43)*100</f>
        <v>0</v>
      </c>
      <c r="D45">
        <f t="shared" si="24"/>
        <v>0</v>
      </c>
      <c r="E45">
        <f t="shared" si="24"/>
        <v>4.5454545454545459</v>
      </c>
      <c r="F45">
        <f t="shared" si="24"/>
        <v>13.636363636363635</v>
      </c>
      <c r="G45">
        <f t="shared" si="24"/>
        <v>13.636363636363635</v>
      </c>
      <c r="H45">
        <f t="shared" si="24"/>
        <v>18.181818181818183</v>
      </c>
      <c r="I45">
        <f t="shared" si="24"/>
        <v>9.0909090909090917</v>
      </c>
      <c r="J45">
        <f t="shared" si="24"/>
        <v>63.636363636363633</v>
      </c>
      <c r="K45">
        <f t="shared" si="24"/>
        <v>50</v>
      </c>
      <c r="L45">
        <f t="shared" si="24"/>
        <v>9.0909090909090917</v>
      </c>
      <c r="M45">
        <f t="shared" si="24"/>
        <v>0</v>
      </c>
      <c r="N45">
        <f t="shared" si="24"/>
        <v>0</v>
      </c>
      <c r="O45">
        <f t="shared" si="24"/>
        <v>18.181818181818183</v>
      </c>
      <c r="P45">
        <f t="shared" si="24"/>
        <v>13.636363636363635</v>
      </c>
      <c r="Q45">
        <f t="shared" si="24"/>
        <v>9.0909090909090917</v>
      </c>
      <c r="R45">
        <f t="shared" si="24"/>
        <v>0</v>
      </c>
      <c r="S45">
        <f t="shared" si="24"/>
        <v>18.181818181818183</v>
      </c>
      <c r="T45">
        <f t="shared" si="24"/>
        <v>0</v>
      </c>
      <c r="U45">
        <f t="shared" si="24"/>
        <v>9.0909090909090917</v>
      </c>
      <c r="V45">
        <f t="shared" si="24"/>
        <v>9.0909090909090917</v>
      </c>
      <c r="W45">
        <f t="shared" si="24"/>
        <v>4.5454545454545459</v>
      </c>
      <c r="X45">
        <f t="shared" si="24"/>
        <v>0</v>
      </c>
      <c r="Y45">
        <f t="shared" si="24"/>
        <v>9.0909090909090917</v>
      </c>
      <c r="Z45">
        <f t="shared" si="24"/>
        <v>13.636363636363635</v>
      </c>
      <c r="AA45">
        <f t="shared" si="24"/>
        <v>45.454545454545453</v>
      </c>
      <c r="AB45">
        <f t="shared" si="24"/>
        <v>0</v>
      </c>
      <c r="AC45">
        <f t="shared" si="24"/>
        <v>0</v>
      </c>
      <c r="AD45">
        <f t="shared" si="24"/>
        <v>13.636363636363635</v>
      </c>
      <c r="AE45">
        <f t="shared" si="24"/>
        <v>31.818181818181817</v>
      </c>
      <c r="AF45">
        <f t="shared" si="24"/>
        <v>13.636363636363635</v>
      </c>
      <c r="AG45">
        <f t="shared" si="24"/>
        <v>0</v>
      </c>
      <c r="AH45">
        <f t="shared" si="24"/>
        <v>4.5454545454545459</v>
      </c>
      <c r="AI45">
        <f t="shared" si="24"/>
        <v>4.5454545454545459</v>
      </c>
      <c r="AJ45">
        <f t="shared" si="24"/>
        <v>4.5454545454545459</v>
      </c>
      <c r="AK45">
        <f t="shared" si="24"/>
        <v>27.27272727272727</v>
      </c>
      <c r="AL45">
        <f t="shared" si="24"/>
        <v>31.818181818181817</v>
      </c>
      <c r="AM45">
        <f t="shared" si="24"/>
        <v>36.363636363636367</v>
      </c>
      <c r="AN45">
        <f t="shared" si="24"/>
        <v>36.363636363636367</v>
      </c>
      <c r="AO45">
        <f t="shared" si="24"/>
        <v>31.818181818181817</v>
      </c>
      <c r="AP45">
        <f t="shared" si="24"/>
        <v>22.727272727272727</v>
      </c>
      <c r="AQ45">
        <f t="shared" si="24"/>
        <v>27.27272727272727</v>
      </c>
      <c r="AR45">
        <f t="shared" si="24"/>
        <v>40.909090909090914</v>
      </c>
      <c r="AS45">
        <f t="shared" si="24"/>
        <v>4.5454545454545459</v>
      </c>
      <c r="AT45">
        <f t="shared" si="24"/>
        <v>13.636363636363635</v>
      </c>
      <c r="AU45">
        <f t="shared" si="24"/>
        <v>18.181818181818183</v>
      </c>
      <c r="AV45">
        <f t="shared" si="24"/>
        <v>0</v>
      </c>
      <c r="AW45">
        <f t="shared" si="24"/>
        <v>18.181818181818183</v>
      </c>
      <c r="AX45">
        <f t="shared" si="24"/>
        <v>9.0909090909090917</v>
      </c>
      <c r="AY45">
        <f t="shared" si="24"/>
        <v>27.27272727272727</v>
      </c>
      <c r="AZ45">
        <f t="shared" si="24"/>
        <v>63.636363636363633</v>
      </c>
      <c r="BA45">
        <f t="shared" si="24"/>
        <v>31.818181818181817</v>
      </c>
      <c r="BB45">
        <f t="shared" si="24"/>
        <v>31.818181818181817</v>
      </c>
      <c r="BC45">
        <f t="shared" si="24"/>
        <v>4.5454545454545459</v>
      </c>
      <c r="BD45">
        <f t="shared" si="24"/>
        <v>4.5454545454545459</v>
      </c>
      <c r="BE45">
        <f t="shared" si="24"/>
        <v>0</v>
      </c>
      <c r="BF45">
        <f t="shared" si="24"/>
        <v>0</v>
      </c>
      <c r="BG45">
        <f t="shared" si="24"/>
        <v>9.0909090909090917</v>
      </c>
      <c r="BH45">
        <f t="shared" si="24"/>
        <v>4.5454545454545459</v>
      </c>
      <c r="BI45">
        <f t="shared" si="24"/>
        <v>18.181818181818183</v>
      </c>
      <c r="BJ45">
        <f t="shared" si="24"/>
        <v>13.636363636363635</v>
      </c>
      <c r="BK45">
        <f t="shared" si="24"/>
        <v>95.454545454545453</v>
      </c>
      <c r="BL45">
        <f t="shared" si="24"/>
        <v>22.727272727272727</v>
      </c>
      <c r="BM45">
        <f t="shared" si="24"/>
        <v>13.636363636363635</v>
      </c>
      <c r="BN45">
        <f t="shared" si="24"/>
        <v>0</v>
      </c>
      <c r="BO45">
        <f t="shared" ref="BO45:BT45" si="25">(BO41/BO43)*100</f>
        <v>9.0909090909090917</v>
      </c>
      <c r="BP45">
        <f t="shared" si="25"/>
        <v>0</v>
      </c>
      <c r="BQ45">
        <f t="shared" si="25"/>
        <v>4.5454545454545459</v>
      </c>
      <c r="BR45">
        <f t="shared" si="25"/>
        <v>13.636363636363635</v>
      </c>
      <c r="BS45">
        <f t="shared" si="25"/>
        <v>22.727272727272727</v>
      </c>
      <c r="BT45">
        <f t="shared" si="25"/>
        <v>9.0909090909090917</v>
      </c>
      <c r="BU45">
        <f>(BU41/BU43)*100</f>
        <v>9.0909090909090917</v>
      </c>
      <c r="BV45">
        <f>AVERAGE(B45:BU45)</f>
        <v>15.845959595959592</v>
      </c>
    </row>
    <row r="46" spans="1:74" x14ac:dyDescent="0.25">
      <c r="A46" t="s">
        <v>131</v>
      </c>
      <c r="B46">
        <f>COUNTIF(B44,"&gt;20")</f>
        <v>0</v>
      </c>
      <c r="C46">
        <f t="shared" ref="C46:BN46" si="26">COUNTIF(C44,"&gt;20")</f>
        <v>0</v>
      </c>
      <c r="D46">
        <f t="shared" si="26"/>
        <v>0</v>
      </c>
      <c r="E46">
        <f t="shared" si="26"/>
        <v>0</v>
      </c>
      <c r="F46">
        <f t="shared" si="26"/>
        <v>1</v>
      </c>
      <c r="G46">
        <f t="shared" si="26"/>
        <v>0</v>
      </c>
      <c r="H46">
        <f t="shared" si="26"/>
        <v>1</v>
      </c>
      <c r="I46">
        <f t="shared" si="26"/>
        <v>0</v>
      </c>
      <c r="J46">
        <f t="shared" si="26"/>
        <v>1</v>
      </c>
      <c r="K46">
        <f t="shared" si="26"/>
        <v>1</v>
      </c>
      <c r="L46">
        <f t="shared" si="26"/>
        <v>0</v>
      </c>
      <c r="M46">
        <f t="shared" si="26"/>
        <v>0</v>
      </c>
      <c r="N46">
        <f t="shared" si="26"/>
        <v>0</v>
      </c>
      <c r="O46">
        <f t="shared" si="26"/>
        <v>1</v>
      </c>
      <c r="P46">
        <f t="shared" si="26"/>
        <v>0</v>
      </c>
      <c r="Q46">
        <f t="shared" si="26"/>
        <v>1</v>
      </c>
      <c r="R46">
        <f t="shared" si="26"/>
        <v>0</v>
      </c>
      <c r="S46">
        <f t="shared" si="26"/>
        <v>1</v>
      </c>
      <c r="T46">
        <f t="shared" si="26"/>
        <v>0</v>
      </c>
      <c r="U46">
        <f t="shared" si="26"/>
        <v>0</v>
      </c>
      <c r="V46">
        <f t="shared" si="26"/>
        <v>0</v>
      </c>
      <c r="W46">
        <f t="shared" si="26"/>
        <v>0</v>
      </c>
      <c r="X46">
        <f t="shared" si="26"/>
        <v>0</v>
      </c>
      <c r="Y46">
        <f t="shared" si="26"/>
        <v>0</v>
      </c>
      <c r="Z46">
        <f t="shared" si="26"/>
        <v>1</v>
      </c>
      <c r="AA46">
        <f t="shared" si="26"/>
        <v>1</v>
      </c>
      <c r="AB46">
        <f t="shared" si="26"/>
        <v>0</v>
      </c>
      <c r="AC46">
        <f t="shared" si="26"/>
        <v>0</v>
      </c>
      <c r="AD46">
        <f t="shared" si="26"/>
        <v>1</v>
      </c>
      <c r="AE46">
        <f t="shared" si="26"/>
        <v>1</v>
      </c>
      <c r="AF46">
        <f t="shared" si="26"/>
        <v>1</v>
      </c>
      <c r="AG46">
        <f t="shared" si="26"/>
        <v>0</v>
      </c>
      <c r="AH46">
        <f t="shared" si="26"/>
        <v>0</v>
      </c>
      <c r="AI46">
        <f t="shared" si="26"/>
        <v>0</v>
      </c>
      <c r="AJ46">
        <f t="shared" si="26"/>
        <v>0</v>
      </c>
      <c r="AK46">
        <f t="shared" si="26"/>
        <v>1</v>
      </c>
      <c r="AL46">
        <f t="shared" si="26"/>
        <v>1</v>
      </c>
      <c r="AM46">
        <f t="shared" si="26"/>
        <v>1</v>
      </c>
      <c r="AN46">
        <f t="shared" si="26"/>
        <v>1</v>
      </c>
      <c r="AO46">
        <f t="shared" si="26"/>
        <v>1</v>
      </c>
      <c r="AP46">
        <f t="shared" si="26"/>
        <v>1</v>
      </c>
      <c r="AQ46">
        <f t="shared" si="26"/>
        <v>1</v>
      </c>
      <c r="AR46">
        <f t="shared" si="26"/>
        <v>1</v>
      </c>
      <c r="AS46">
        <f t="shared" si="26"/>
        <v>0</v>
      </c>
      <c r="AT46">
        <f t="shared" si="26"/>
        <v>1</v>
      </c>
      <c r="AU46">
        <f t="shared" si="26"/>
        <v>0</v>
      </c>
      <c r="AV46">
        <f t="shared" si="26"/>
        <v>0</v>
      </c>
      <c r="AW46">
        <f t="shared" si="26"/>
        <v>1</v>
      </c>
      <c r="AX46">
        <f t="shared" si="26"/>
        <v>1</v>
      </c>
      <c r="AY46">
        <f t="shared" si="26"/>
        <v>1</v>
      </c>
      <c r="AZ46">
        <f t="shared" si="26"/>
        <v>1</v>
      </c>
      <c r="BA46">
        <f t="shared" si="26"/>
        <v>1</v>
      </c>
      <c r="BB46">
        <f t="shared" si="26"/>
        <v>1</v>
      </c>
      <c r="BC46">
        <f t="shared" si="26"/>
        <v>0</v>
      </c>
      <c r="BD46">
        <f t="shared" si="26"/>
        <v>0</v>
      </c>
      <c r="BE46">
        <f t="shared" si="26"/>
        <v>0</v>
      </c>
      <c r="BF46">
        <f t="shared" si="26"/>
        <v>0</v>
      </c>
      <c r="BG46">
        <f t="shared" si="26"/>
        <v>1</v>
      </c>
      <c r="BH46">
        <f t="shared" si="26"/>
        <v>0</v>
      </c>
      <c r="BI46">
        <f t="shared" si="26"/>
        <v>1</v>
      </c>
      <c r="BJ46">
        <f t="shared" si="26"/>
        <v>1</v>
      </c>
      <c r="BK46">
        <f t="shared" si="26"/>
        <v>1</v>
      </c>
      <c r="BL46">
        <f t="shared" si="26"/>
        <v>1</v>
      </c>
      <c r="BM46">
        <f t="shared" si="26"/>
        <v>0</v>
      </c>
      <c r="BN46">
        <f t="shared" si="26"/>
        <v>0</v>
      </c>
      <c r="BO46">
        <f t="shared" ref="BO46:BU46" si="27">COUNTIF(BO44,"&gt;20")</f>
        <v>0</v>
      </c>
      <c r="BP46">
        <f t="shared" si="27"/>
        <v>0</v>
      </c>
      <c r="BQ46">
        <f t="shared" si="27"/>
        <v>0</v>
      </c>
      <c r="BR46">
        <f t="shared" si="27"/>
        <v>0</v>
      </c>
      <c r="BS46">
        <f t="shared" si="27"/>
        <v>0</v>
      </c>
      <c r="BT46">
        <f t="shared" si="27"/>
        <v>0</v>
      </c>
      <c r="BU46">
        <f t="shared" si="27"/>
        <v>0</v>
      </c>
      <c r="BV46">
        <f>SUM(B46:BU46)</f>
        <v>32</v>
      </c>
    </row>
    <row r="47" spans="1:74" x14ac:dyDescent="0.25">
      <c r="A47" t="s">
        <v>132</v>
      </c>
      <c r="B47">
        <f>COUNTIF(B45,"&gt;15")</f>
        <v>0</v>
      </c>
      <c r="C47">
        <f t="shared" ref="C47:BN47" si="28">COUNTIF(C45,"&gt;15")</f>
        <v>0</v>
      </c>
      <c r="D47">
        <f t="shared" si="28"/>
        <v>0</v>
      </c>
      <c r="E47">
        <f t="shared" si="28"/>
        <v>0</v>
      </c>
      <c r="F47">
        <f t="shared" si="28"/>
        <v>0</v>
      </c>
      <c r="G47">
        <f t="shared" si="28"/>
        <v>0</v>
      </c>
      <c r="H47">
        <f t="shared" si="28"/>
        <v>1</v>
      </c>
      <c r="I47">
        <f t="shared" si="28"/>
        <v>0</v>
      </c>
      <c r="J47">
        <f t="shared" si="28"/>
        <v>1</v>
      </c>
      <c r="K47">
        <f t="shared" si="28"/>
        <v>1</v>
      </c>
      <c r="L47">
        <f t="shared" si="28"/>
        <v>0</v>
      </c>
      <c r="M47">
        <f t="shared" si="28"/>
        <v>0</v>
      </c>
      <c r="N47">
        <f t="shared" si="28"/>
        <v>0</v>
      </c>
      <c r="O47">
        <f t="shared" si="28"/>
        <v>1</v>
      </c>
      <c r="P47">
        <f t="shared" si="28"/>
        <v>0</v>
      </c>
      <c r="Q47">
        <f t="shared" si="28"/>
        <v>0</v>
      </c>
      <c r="R47">
        <f t="shared" si="28"/>
        <v>0</v>
      </c>
      <c r="S47">
        <f t="shared" si="28"/>
        <v>1</v>
      </c>
      <c r="T47">
        <f t="shared" si="28"/>
        <v>0</v>
      </c>
      <c r="U47">
        <f t="shared" si="28"/>
        <v>0</v>
      </c>
      <c r="V47">
        <f t="shared" si="28"/>
        <v>0</v>
      </c>
      <c r="W47">
        <f t="shared" si="28"/>
        <v>0</v>
      </c>
      <c r="X47">
        <f t="shared" si="28"/>
        <v>0</v>
      </c>
      <c r="Y47">
        <f t="shared" si="28"/>
        <v>0</v>
      </c>
      <c r="Z47">
        <f t="shared" si="28"/>
        <v>0</v>
      </c>
      <c r="AA47">
        <f t="shared" si="28"/>
        <v>1</v>
      </c>
      <c r="AB47">
        <f t="shared" si="28"/>
        <v>0</v>
      </c>
      <c r="AC47">
        <f t="shared" si="28"/>
        <v>0</v>
      </c>
      <c r="AD47">
        <f t="shared" si="28"/>
        <v>0</v>
      </c>
      <c r="AE47">
        <f t="shared" si="28"/>
        <v>1</v>
      </c>
      <c r="AF47">
        <f t="shared" si="28"/>
        <v>0</v>
      </c>
      <c r="AG47">
        <f t="shared" si="28"/>
        <v>0</v>
      </c>
      <c r="AH47">
        <f t="shared" si="28"/>
        <v>0</v>
      </c>
      <c r="AI47">
        <f t="shared" si="28"/>
        <v>0</v>
      </c>
      <c r="AJ47">
        <f t="shared" si="28"/>
        <v>0</v>
      </c>
      <c r="AK47">
        <f t="shared" si="28"/>
        <v>1</v>
      </c>
      <c r="AL47">
        <f t="shared" si="28"/>
        <v>1</v>
      </c>
      <c r="AM47">
        <f t="shared" si="28"/>
        <v>1</v>
      </c>
      <c r="AN47">
        <f t="shared" si="28"/>
        <v>1</v>
      </c>
      <c r="AO47">
        <f t="shared" si="28"/>
        <v>1</v>
      </c>
      <c r="AP47">
        <f t="shared" si="28"/>
        <v>1</v>
      </c>
      <c r="AQ47">
        <f t="shared" si="28"/>
        <v>1</v>
      </c>
      <c r="AR47">
        <f t="shared" si="28"/>
        <v>1</v>
      </c>
      <c r="AS47">
        <f t="shared" si="28"/>
        <v>0</v>
      </c>
      <c r="AT47">
        <f t="shared" si="28"/>
        <v>0</v>
      </c>
      <c r="AU47">
        <f t="shared" si="28"/>
        <v>1</v>
      </c>
      <c r="AV47">
        <f t="shared" si="28"/>
        <v>0</v>
      </c>
      <c r="AW47">
        <f t="shared" si="28"/>
        <v>1</v>
      </c>
      <c r="AX47">
        <f t="shared" si="28"/>
        <v>0</v>
      </c>
      <c r="AY47">
        <f t="shared" si="28"/>
        <v>1</v>
      </c>
      <c r="AZ47">
        <f t="shared" si="28"/>
        <v>1</v>
      </c>
      <c r="BA47">
        <f t="shared" si="28"/>
        <v>1</v>
      </c>
      <c r="BB47">
        <f t="shared" si="28"/>
        <v>1</v>
      </c>
      <c r="BC47">
        <f t="shared" si="28"/>
        <v>0</v>
      </c>
      <c r="BD47">
        <f t="shared" si="28"/>
        <v>0</v>
      </c>
      <c r="BE47">
        <f t="shared" si="28"/>
        <v>0</v>
      </c>
      <c r="BF47">
        <f t="shared" si="28"/>
        <v>0</v>
      </c>
      <c r="BG47">
        <f t="shared" si="28"/>
        <v>0</v>
      </c>
      <c r="BH47">
        <f t="shared" si="28"/>
        <v>0</v>
      </c>
      <c r="BI47">
        <f t="shared" si="28"/>
        <v>1</v>
      </c>
      <c r="BJ47">
        <f t="shared" si="28"/>
        <v>0</v>
      </c>
      <c r="BK47">
        <f t="shared" si="28"/>
        <v>1</v>
      </c>
      <c r="BL47">
        <f t="shared" si="28"/>
        <v>1</v>
      </c>
      <c r="BM47">
        <f t="shared" si="28"/>
        <v>0</v>
      </c>
      <c r="BN47">
        <f t="shared" si="28"/>
        <v>0</v>
      </c>
      <c r="BO47">
        <f t="shared" ref="BO47:BU47" si="29">COUNTIF(BO45,"&gt;15")</f>
        <v>0</v>
      </c>
      <c r="BP47">
        <f t="shared" si="29"/>
        <v>0</v>
      </c>
      <c r="BQ47">
        <f t="shared" si="29"/>
        <v>0</v>
      </c>
      <c r="BR47">
        <f t="shared" si="29"/>
        <v>0</v>
      </c>
      <c r="BS47">
        <f t="shared" si="29"/>
        <v>1</v>
      </c>
      <c r="BT47">
        <f t="shared" si="29"/>
        <v>0</v>
      </c>
      <c r="BU47">
        <f t="shared" si="29"/>
        <v>0</v>
      </c>
      <c r="BV47">
        <f>SUM(B47:BU47)</f>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676E-D803-4AFD-A8B3-65E19396FB10}">
  <dimension ref="A1:BU42"/>
  <sheetViews>
    <sheetView topLeftCell="AS10" workbookViewId="0">
      <selection activeCell="A41" sqref="A41:BU42"/>
    </sheetView>
  </sheetViews>
  <sheetFormatPr defaultRowHeight="15" x14ac:dyDescent="0.25"/>
  <cols>
    <col min="1" max="1" width="44" bestFit="1" customWidth="1"/>
  </cols>
  <sheetData>
    <row r="1" spans="1:73" x14ac:dyDescent="0.25">
      <c r="A1" t="s">
        <v>0</v>
      </c>
      <c r="B1" t="s">
        <v>54</v>
      </c>
      <c r="C1" t="s">
        <v>22</v>
      </c>
      <c r="D1" t="s">
        <v>51</v>
      </c>
      <c r="E1" t="s">
        <v>14</v>
      </c>
      <c r="F1" t="s">
        <v>61</v>
      </c>
      <c r="G1" t="s">
        <v>1</v>
      </c>
      <c r="H1" t="s">
        <v>68</v>
      </c>
      <c r="I1" t="s">
        <v>46</v>
      </c>
      <c r="J1" t="s">
        <v>28</v>
      </c>
      <c r="K1" t="s">
        <v>19</v>
      </c>
      <c r="L1" t="s">
        <v>18</v>
      </c>
      <c r="M1" t="s">
        <v>38</v>
      </c>
      <c r="N1" t="s">
        <v>64</v>
      </c>
      <c r="O1" t="s">
        <v>35</v>
      </c>
      <c r="P1" t="s">
        <v>10</v>
      </c>
      <c r="Q1" t="s">
        <v>60</v>
      </c>
      <c r="R1" t="s">
        <v>43</v>
      </c>
      <c r="S1" t="s">
        <v>26</v>
      </c>
      <c r="T1" t="s">
        <v>45</v>
      </c>
      <c r="U1" t="s">
        <v>67</v>
      </c>
      <c r="V1" t="s">
        <v>34</v>
      </c>
      <c r="W1" t="s">
        <v>39</v>
      </c>
      <c r="X1" t="s">
        <v>8</v>
      </c>
      <c r="Y1" t="s">
        <v>52</v>
      </c>
      <c r="Z1" t="s">
        <v>32</v>
      </c>
      <c r="AA1" t="s">
        <v>3</v>
      </c>
      <c r="AB1" t="s">
        <v>70</v>
      </c>
      <c r="AC1" t="s">
        <v>2</v>
      </c>
      <c r="AD1" t="s">
        <v>63</v>
      </c>
      <c r="AE1" t="s">
        <v>6</v>
      </c>
      <c r="AF1" t="s">
        <v>58</v>
      </c>
      <c r="AG1" t="s">
        <v>20</v>
      </c>
      <c r="AH1" t="s">
        <v>12</v>
      </c>
      <c r="AI1" t="s">
        <v>13</v>
      </c>
      <c r="AJ1" t="s">
        <v>62</v>
      </c>
      <c r="AK1" t="s">
        <v>27</v>
      </c>
      <c r="AL1" t="s">
        <v>42</v>
      </c>
      <c r="AM1" t="s">
        <v>36</v>
      </c>
      <c r="AN1" t="s">
        <v>21</v>
      </c>
      <c r="AO1" t="s">
        <v>11</v>
      </c>
      <c r="AP1" t="s">
        <v>71</v>
      </c>
      <c r="AQ1" t="s">
        <v>31</v>
      </c>
      <c r="AR1" t="s">
        <v>65</v>
      </c>
      <c r="AS1" t="s">
        <v>41</v>
      </c>
      <c r="AT1" t="s">
        <v>56</v>
      </c>
      <c r="AU1" t="s">
        <v>66</v>
      </c>
      <c r="AV1" t="s">
        <v>44</v>
      </c>
      <c r="AW1" t="s">
        <v>9</v>
      </c>
      <c r="AX1" t="s">
        <v>33</v>
      </c>
      <c r="AY1" t="s">
        <v>50</v>
      </c>
      <c r="AZ1" t="s">
        <v>24</v>
      </c>
      <c r="BA1" t="s">
        <v>57</v>
      </c>
      <c r="BB1" t="s">
        <v>40</v>
      </c>
      <c r="BC1" t="s">
        <v>59</v>
      </c>
      <c r="BD1" t="s">
        <v>48</v>
      </c>
      <c r="BE1" t="s">
        <v>5</v>
      </c>
      <c r="BF1" t="s">
        <v>15</v>
      </c>
      <c r="BG1" t="s">
        <v>49</v>
      </c>
      <c r="BH1" t="s">
        <v>7</v>
      </c>
      <c r="BI1" t="s">
        <v>53</v>
      </c>
      <c r="BJ1" t="s">
        <v>69</v>
      </c>
      <c r="BK1" t="s">
        <v>17</v>
      </c>
      <c r="BL1" t="s">
        <v>29</v>
      </c>
      <c r="BM1" t="s">
        <v>30</v>
      </c>
      <c r="BN1" t="s">
        <v>23</v>
      </c>
      <c r="BO1" t="s">
        <v>47</v>
      </c>
      <c r="BP1" t="s">
        <v>37</v>
      </c>
      <c r="BQ1" t="s">
        <v>72</v>
      </c>
      <c r="BR1" t="s">
        <v>16</v>
      </c>
      <c r="BS1" t="s">
        <v>25</v>
      </c>
      <c r="BT1" t="s">
        <v>4</v>
      </c>
      <c r="BU1" t="s">
        <v>55</v>
      </c>
    </row>
    <row r="2" spans="1:73" x14ac:dyDescent="0.25">
      <c r="A2" t="s">
        <v>74</v>
      </c>
      <c r="B2">
        <v>1</v>
      </c>
      <c r="C2">
        <v>1</v>
      </c>
      <c r="D2">
        <v>0</v>
      </c>
      <c r="E2">
        <v>1</v>
      </c>
      <c r="F2">
        <v>1</v>
      </c>
      <c r="G2">
        <v>1</v>
      </c>
      <c r="H2">
        <v>2</v>
      </c>
      <c r="I2">
        <v>1</v>
      </c>
      <c r="J2">
        <v>1</v>
      </c>
      <c r="K2">
        <v>1</v>
      </c>
      <c r="L2">
        <v>1</v>
      </c>
      <c r="M2">
        <v>1</v>
      </c>
      <c r="N2">
        <v>1</v>
      </c>
      <c r="O2">
        <v>1</v>
      </c>
      <c r="P2">
        <v>2</v>
      </c>
      <c r="Q2">
        <v>1</v>
      </c>
      <c r="R2">
        <v>0</v>
      </c>
      <c r="S2">
        <v>1</v>
      </c>
      <c r="T2">
        <v>1</v>
      </c>
      <c r="U2">
        <v>1</v>
      </c>
      <c r="V2">
        <v>1</v>
      </c>
      <c r="W2">
        <v>1</v>
      </c>
      <c r="X2">
        <v>1</v>
      </c>
      <c r="Y2">
        <v>1</v>
      </c>
      <c r="Z2">
        <v>1</v>
      </c>
      <c r="AA2">
        <v>4</v>
      </c>
      <c r="AB2">
        <v>0</v>
      </c>
      <c r="AC2">
        <v>1</v>
      </c>
      <c r="AD2">
        <v>1</v>
      </c>
      <c r="AE2">
        <v>1</v>
      </c>
      <c r="AF2">
        <v>1</v>
      </c>
      <c r="AG2">
        <v>1</v>
      </c>
      <c r="AH2">
        <v>1</v>
      </c>
      <c r="AI2">
        <v>1</v>
      </c>
      <c r="AJ2">
        <v>0</v>
      </c>
      <c r="AK2">
        <v>1</v>
      </c>
      <c r="AL2">
        <v>1</v>
      </c>
      <c r="AM2">
        <v>1</v>
      </c>
      <c r="AN2">
        <v>1</v>
      </c>
      <c r="AO2">
        <v>1</v>
      </c>
      <c r="AP2">
        <v>1</v>
      </c>
      <c r="AQ2">
        <v>1</v>
      </c>
      <c r="AR2">
        <v>1</v>
      </c>
      <c r="AS2">
        <v>1</v>
      </c>
      <c r="AT2">
        <v>1</v>
      </c>
      <c r="AU2">
        <v>1</v>
      </c>
      <c r="AV2">
        <v>1</v>
      </c>
      <c r="AW2">
        <v>0</v>
      </c>
      <c r="AX2">
        <v>1</v>
      </c>
      <c r="AY2">
        <v>1</v>
      </c>
      <c r="AZ2">
        <v>1</v>
      </c>
      <c r="BA2">
        <v>1</v>
      </c>
      <c r="BB2">
        <v>1</v>
      </c>
      <c r="BC2">
        <v>0</v>
      </c>
      <c r="BD2">
        <v>1</v>
      </c>
      <c r="BE2">
        <v>1</v>
      </c>
      <c r="BF2">
        <v>0</v>
      </c>
      <c r="BG2">
        <v>1</v>
      </c>
      <c r="BH2">
        <v>1</v>
      </c>
      <c r="BI2">
        <v>1</v>
      </c>
      <c r="BJ2">
        <v>1</v>
      </c>
      <c r="BK2">
        <v>1</v>
      </c>
      <c r="BL2">
        <v>1</v>
      </c>
      <c r="BM2">
        <v>1</v>
      </c>
      <c r="BN2">
        <v>1</v>
      </c>
      <c r="BO2">
        <v>1</v>
      </c>
      <c r="BP2">
        <v>1</v>
      </c>
      <c r="BQ2">
        <v>1</v>
      </c>
      <c r="BR2">
        <v>1</v>
      </c>
      <c r="BS2">
        <v>1</v>
      </c>
      <c r="BT2">
        <v>1</v>
      </c>
      <c r="BU2">
        <v>1</v>
      </c>
    </row>
    <row r="3" spans="1:73" x14ac:dyDescent="0.25">
      <c r="A3" t="s">
        <v>75</v>
      </c>
      <c r="B3">
        <v>1</v>
      </c>
      <c r="C3">
        <v>1</v>
      </c>
      <c r="D3">
        <v>1</v>
      </c>
      <c r="E3">
        <v>1</v>
      </c>
      <c r="F3">
        <v>1</v>
      </c>
      <c r="G3">
        <v>1</v>
      </c>
      <c r="H3">
        <v>2</v>
      </c>
      <c r="I3">
        <v>1</v>
      </c>
      <c r="J3">
        <v>1</v>
      </c>
      <c r="K3">
        <v>1</v>
      </c>
      <c r="L3">
        <v>1</v>
      </c>
      <c r="M3">
        <v>1</v>
      </c>
      <c r="N3">
        <v>1</v>
      </c>
      <c r="O3">
        <v>1</v>
      </c>
      <c r="P3">
        <v>0</v>
      </c>
      <c r="Q3">
        <v>1</v>
      </c>
      <c r="R3">
        <v>1</v>
      </c>
      <c r="S3">
        <v>1</v>
      </c>
      <c r="T3">
        <v>1</v>
      </c>
      <c r="U3">
        <v>1</v>
      </c>
      <c r="V3">
        <v>1</v>
      </c>
      <c r="W3">
        <v>1</v>
      </c>
      <c r="X3">
        <v>1</v>
      </c>
      <c r="Y3">
        <v>1</v>
      </c>
      <c r="Z3">
        <v>1</v>
      </c>
      <c r="AA3">
        <v>2</v>
      </c>
      <c r="AB3">
        <v>1</v>
      </c>
      <c r="AC3">
        <v>1</v>
      </c>
      <c r="AD3">
        <v>1</v>
      </c>
      <c r="AE3">
        <v>1</v>
      </c>
      <c r="AF3">
        <v>1</v>
      </c>
      <c r="AG3">
        <v>1</v>
      </c>
      <c r="AH3">
        <v>1</v>
      </c>
      <c r="AI3">
        <v>1</v>
      </c>
      <c r="AJ3">
        <v>0</v>
      </c>
      <c r="AK3">
        <v>1</v>
      </c>
      <c r="AL3">
        <v>1</v>
      </c>
      <c r="AM3">
        <v>1</v>
      </c>
      <c r="AN3">
        <v>1</v>
      </c>
      <c r="AO3">
        <v>1</v>
      </c>
      <c r="AP3">
        <v>1</v>
      </c>
      <c r="AQ3">
        <v>1</v>
      </c>
      <c r="AR3">
        <v>1</v>
      </c>
      <c r="AS3">
        <v>1</v>
      </c>
      <c r="AT3">
        <v>1</v>
      </c>
      <c r="AU3">
        <v>1</v>
      </c>
      <c r="AV3">
        <v>1</v>
      </c>
      <c r="AW3">
        <v>1</v>
      </c>
      <c r="AX3">
        <v>1</v>
      </c>
      <c r="AY3">
        <v>1</v>
      </c>
      <c r="AZ3">
        <v>1</v>
      </c>
      <c r="BA3">
        <v>1</v>
      </c>
      <c r="BB3">
        <v>1</v>
      </c>
      <c r="BC3">
        <v>2</v>
      </c>
      <c r="BD3">
        <v>1</v>
      </c>
      <c r="BE3">
        <v>1</v>
      </c>
      <c r="BF3">
        <v>1</v>
      </c>
      <c r="BG3">
        <v>1</v>
      </c>
      <c r="BH3">
        <v>1</v>
      </c>
      <c r="BI3">
        <v>1</v>
      </c>
      <c r="BJ3">
        <v>1</v>
      </c>
      <c r="BK3">
        <v>1</v>
      </c>
      <c r="BL3">
        <v>1</v>
      </c>
      <c r="BM3">
        <v>1</v>
      </c>
      <c r="BN3">
        <v>1</v>
      </c>
      <c r="BO3">
        <v>1</v>
      </c>
      <c r="BP3">
        <v>1</v>
      </c>
      <c r="BQ3">
        <v>1</v>
      </c>
      <c r="BR3">
        <v>1</v>
      </c>
      <c r="BS3">
        <v>1</v>
      </c>
      <c r="BT3">
        <v>1</v>
      </c>
      <c r="BU3">
        <v>1</v>
      </c>
    </row>
    <row r="4" spans="1:73" x14ac:dyDescent="0.25">
      <c r="A4" t="s">
        <v>76</v>
      </c>
      <c r="B4">
        <v>1</v>
      </c>
      <c r="C4">
        <v>1</v>
      </c>
      <c r="D4">
        <v>0</v>
      </c>
      <c r="E4">
        <v>1</v>
      </c>
      <c r="F4">
        <v>1</v>
      </c>
      <c r="G4">
        <v>1</v>
      </c>
      <c r="H4">
        <v>2</v>
      </c>
      <c r="I4">
        <v>1</v>
      </c>
      <c r="J4">
        <v>1</v>
      </c>
      <c r="K4">
        <v>1</v>
      </c>
      <c r="L4">
        <v>1</v>
      </c>
      <c r="M4">
        <v>1</v>
      </c>
      <c r="N4">
        <v>1</v>
      </c>
      <c r="O4">
        <v>1</v>
      </c>
      <c r="P4">
        <v>1</v>
      </c>
      <c r="Q4">
        <v>1</v>
      </c>
      <c r="R4">
        <v>1</v>
      </c>
      <c r="S4">
        <v>1</v>
      </c>
      <c r="T4">
        <v>1</v>
      </c>
      <c r="U4">
        <v>1</v>
      </c>
      <c r="V4">
        <v>1</v>
      </c>
      <c r="W4">
        <v>1</v>
      </c>
      <c r="X4">
        <v>1</v>
      </c>
      <c r="Y4">
        <v>1</v>
      </c>
      <c r="Z4">
        <v>1</v>
      </c>
      <c r="AA4">
        <v>3</v>
      </c>
      <c r="AB4">
        <v>1</v>
      </c>
      <c r="AC4">
        <v>1</v>
      </c>
      <c r="AD4">
        <v>1</v>
      </c>
      <c r="AE4">
        <v>1</v>
      </c>
      <c r="AF4">
        <v>1</v>
      </c>
      <c r="AG4">
        <v>1</v>
      </c>
      <c r="AH4">
        <v>1</v>
      </c>
      <c r="AI4">
        <v>1</v>
      </c>
      <c r="AJ4">
        <v>0</v>
      </c>
      <c r="AK4">
        <v>1</v>
      </c>
      <c r="AL4">
        <v>1</v>
      </c>
      <c r="AM4">
        <v>1</v>
      </c>
      <c r="AN4">
        <v>1</v>
      </c>
      <c r="AO4">
        <v>1</v>
      </c>
      <c r="AP4">
        <v>1</v>
      </c>
      <c r="AQ4">
        <v>1</v>
      </c>
      <c r="AR4">
        <v>1</v>
      </c>
      <c r="AS4">
        <v>1</v>
      </c>
      <c r="AT4">
        <v>1</v>
      </c>
      <c r="AU4">
        <v>1</v>
      </c>
      <c r="AV4">
        <v>1</v>
      </c>
      <c r="AW4">
        <v>0</v>
      </c>
      <c r="AX4">
        <v>1</v>
      </c>
      <c r="AY4">
        <v>1</v>
      </c>
      <c r="AZ4">
        <v>1</v>
      </c>
      <c r="BA4">
        <v>1</v>
      </c>
      <c r="BB4">
        <v>1</v>
      </c>
      <c r="BC4">
        <v>1</v>
      </c>
      <c r="BD4">
        <v>1</v>
      </c>
      <c r="BE4">
        <v>1</v>
      </c>
      <c r="BF4">
        <v>1</v>
      </c>
      <c r="BG4">
        <v>1</v>
      </c>
      <c r="BH4">
        <v>1</v>
      </c>
      <c r="BI4">
        <v>1</v>
      </c>
      <c r="BJ4">
        <v>1</v>
      </c>
      <c r="BK4">
        <v>1</v>
      </c>
      <c r="BL4">
        <v>1</v>
      </c>
      <c r="BM4">
        <v>1</v>
      </c>
      <c r="BN4">
        <v>1</v>
      </c>
      <c r="BO4">
        <v>1</v>
      </c>
      <c r="BP4">
        <v>1</v>
      </c>
      <c r="BQ4">
        <v>1</v>
      </c>
      <c r="BR4">
        <v>1</v>
      </c>
      <c r="BS4">
        <v>1</v>
      </c>
      <c r="BT4">
        <v>1</v>
      </c>
      <c r="BU4">
        <v>1</v>
      </c>
    </row>
    <row r="5" spans="1:73" x14ac:dyDescent="0.25">
      <c r="A5" t="s">
        <v>77</v>
      </c>
      <c r="B5">
        <v>1</v>
      </c>
      <c r="C5">
        <v>0</v>
      </c>
      <c r="D5">
        <v>0</v>
      </c>
      <c r="E5">
        <v>0</v>
      </c>
      <c r="F5">
        <v>0</v>
      </c>
      <c r="G5">
        <v>1</v>
      </c>
      <c r="H5">
        <v>1</v>
      </c>
      <c r="I5">
        <v>0</v>
      </c>
      <c r="J5">
        <v>1</v>
      </c>
      <c r="K5">
        <v>1</v>
      </c>
      <c r="L5">
        <v>0</v>
      </c>
      <c r="M5">
        <v>1</v>
      </c>
      <c r="N5">
        <v>0</v>
      </c>
      <c r="O5">
        <v>1</v>
      </c>
      <c r="P5">
        <v>0</v>
      </c>
      <c r="Q5">
        <v>0</v>
      </c>
      <c r="R5">
        <v>1</v>
      </c>
      <c r="S5">
        <v>0</v>
      </c>
      <c r="T5">
        <v>0</v>
      </c>
      <c r="U5">
        <v>0</v>
      </c>
      <c r="V5">
        <v>1</v>
      </c>
      <c r="W5">
        <v>0</v>
      </c>
      <c r="X5">
        <v>1</v>
      </c>
      <c r="Y5">
        <v>0</v>
      </c>
      <c r="Z5">
        <v>1</v>
      </c>
      <c r="AA5">
        <v>1</v>
      </c>
      <c r="AB5">
        <v>1</v>
      </c>
      <c r="AC5">
        <v>1</v>
      </c>
      <c r="AD5">
        <v>0</v>
      </c>
      <c r="AE5">
        <v>1</v>
      </c>
      <c r="AF5">
        <v>0</v>
      </c>
      <c r="AG5">
        <v>0</v>
      </c>
      <c r="AH5">
        <v>1</v>
      </c>
      <c r="AI5">
        <v>1</v>
      </c>
      <c r="AJ5">
        <v>0</v>
      </c>
      <c r="AK5">
        <v>1</v>
      </c>
      <c r="AL5">
        <v>1</v>
      </c>
      <c r="AM5">
        <v>0</v>
      </c>
      <c r="AN5">
        <v>0</v>
      </c>
      <c r="AO5">
        <v>1</v>
      </c>
      <c r="AP5">
        <v>1</v>
      </c>
      <c r="AQ5">
        <v>0</v>
      </c>
      <c r="AR5">
        <v>0</v>
      </c>
      <c r="AS5">
        <v>1</v>
      </c>
      <c r="AT5">
        <v>1</v>
      </c>
      <c r="AU5">
        <v>1</v>
      </c>
      <c r="AV5">
        <v>1</v>
      </c>
      <c r="AW5">
        <v>0</v>
      </c>
      <c r="AX5">
        <v>1</v>
      </c>
      <c r="AY5">
        <v>1</v>
      </c>
      <c r="AZ5">
        <v>1</v>
      </c>
      <c r="BA5">
        <v>1</v>
      </c>
      <c r="BB5">
        <v>0</v>
      </c>
      <c r="BC5">
        <v>1</v>
      </c>
      <c r="BD5">
        <v>0</v>
      </c>
      <c r="BE5">
        <v>0</v>
      </c>
      <c r="BF5">
        <v>1</v>
      </c>
      <c r="BG5">
        <v>0</v>
      </c>
      <c r="BH5">
        <v>0</v>
      </c>
      <c r="BI5">
        <v>0</v>
      </c>
      <c r="BJ5">
        <v>0</v>
      </c>
      <c r="BK5">
        <v>1</v>
      </c>
      <c r="BL5">
        <v>0</v>
      </c>
      <c r="BM5">
        <v>0</v>
      </c>
      <c r="BN5">
        <v>1</v>
      </c>
      <c r="BO5">
        <v>1</v>
      </c>
      <c r="BP5">
        <v>1</v>
      </c>
      <c r="BQ5">
        <v>1</v>
      </c>
      <c r="BR5">
        <v>0</v>
      </c>
      <c r="BS5">
        <v>0</v>
      </c>
      <c r="BT5">
        <v>1</v>
      </c>
      <c r="BU5">
        <v>1</v>
      </c>
    </row>
    <row r="6" spans="1:73" x14ac:dyDescent="0.25">
      <c r="A6" t="s">
        <v>78</v>
      </c>
      <c r="B6">
        <v>1</v>
      </c>
      <c r="C6">
        <v>1</v>
      </c>
      <c r="D6">
        <v>0</v>
      </c>
      <c r="E6">
        <v>0</v>
      </c>
      <c r="F6">
        <v>1</v>
      </c>
      <c r="G6">
        <v>1</v>
      </c>
      <c r="H6">
        <v>1</v>
      </c>
      <c r="I6">
        <v>0</v>
      </c>
      <c r="J6">
        <v>1</v>
      </c>
      <c r="K6">
        <v>1</v>
      </c>
      <c r="L6">
        <v>0</v>
      </c>
      <c r="M6">
        <v>0</v>
      </c>
      <c r="N6">
        <v>1</v>
      </c>
      <c r="O6">
        <v>1</v>
      </c>
      <c r="P6">
        <v>0</v>
      </c>
      <c r="Q6">
        <v>0</v>
      </c>
      <c r="R6">
        <v>0</v>
      </c>
      <c r="S6">
        <v>0</v>
      </c>
      <c r="T6">
        <v>1</v>
      </c>
      <c r="U6">
        <v>1</v>
      </c>
      <c r="V6">
        <v>1</v>
      </c>
      <c r="W6">
        <v>0</v>
      </c>
      <c r="X6">
        <v>0</v>
      </c>
      <c r="Y6">
        <v>0</v>
      </c>
      <c r="Z6">
        <v>1</v>
      </c>
      <c r="AA6">
        <v>1</v>
      </c>
      <c r="AB6">
        <v>1</v>
      </c>
      <c r="AC6">
        <v>1</v>
      </c>
      <c r="AD6">
        <v>1</v>
      </c>
      <c r="AE6">
        <v>1</v>
      </c>
      <c r="AF6">
        <v>0</v>
      </c>
      <c r="AG6">
        <v>1</v>
      </c>
      <c r="AH6">
        <v>1</v>
      </c>
      <c r="AI6">
        <v>1</v>
      </c>
      <c r="AJ6">
        <v>0</v>
      </c>
      <c r="AK6">
        <v>1</v>
      </c>
      <c r="AL6">
        <v>0</v>
      </c>
      <c r="AM6">
        <v>0</v>
      </c>
      <c r="AN6">
        <v>1</v>
      </c>
      <c r="AO6">
        <v>1</v>
      </c>
      <c r="AP6">
        <v>0</v>
      </c>
      <c r="AQ6">
        <v>0</v>
      </c>
      <c r="AR6">
        <v>1</v>
      </c>
      <c r="AS6">
        <v>1</v>
      </c>
      <c r="AT6">
        <v>1</v>
      </c>
      <c r="AU6">
        <v>1</v>
      </c>
      <c r="AV6">
        <v>1</v>
      </c>
      <c r="AW6">
        <v>1</v>
      </c>
      <c r="AX6">
        <v>1</v>
      </c>
      <c r="AY6">
        <v>0</v>
      </c>
      <c r="AZ6">
        <v>1</v>
      </c>
      <c r="BA6">
        <v>1</v>
      </c>
      <c r="BB6">
        <v>0</v>
      </c>
      <c r="BC6">
        <v>1</v>
      </c>
      <c r="BD6">
        <v>1</v>
      </c>
      <c r="BE6">
        <v>1</v>
      </c>
      <c r="BF6">
        <v>1</v>
      </c>
      <c r="BG6">
        <v>1</v>
      </c>
      <c r="BH6">
        <v>1</v>
      </c>
      <c r="BI6">
        <v>0</v>
      </c>
      <c r="BJ6">
        <v>0</v>
      </c>
      <c r="BK6">
        <v>1</v>
      </c>
      <c r="BL6">
        <v>1</v>
      </c>
      <c r="BM6">
        <v>0</v>
      </c>
      <c r="BN6">
        <v>1</v>
      </c>
      <c r="BO6">
        <v>1</v>
      </c>
      <c r="BP6">
        <v>0</v>
      </c>
      <c r="BQ6">
        <v>1</v>
      </c>
      <c r="BR6">
        <v>1</v>
      </c>
      <c r="BS6">
        <v>1</v>
      </c>
      <c r="BT6">
        <v>1</v>
      </c>
      <c r="BU6">
        <v>1</v>
      </c>
    </row>
    <row r="7" spans="1:73" x14ac:dyDescent="0.25">
      <c r="A7" t="s">
        <v>79</v>
      </c>
      <c r="B7">
        <v>1</v>
      </c>
      <c r="C7">
        <v>1</v>
      </c>
      <c r="D7">
        <v>0</v>
      </c>
      <c r="E7">
        <v>0</v>
      </c>
      <c r="F7">
        <v>1</v>
      </c>
      <c r="G7">
        <v>1</v>
      </c>
      <c r="H7">
        <v>1</v>
      </c>
      <c r="I7">
        <v>1</v>
      </c>
      <c r="J7">
        <v>1</v>
      </c>
      <c r="K7">
        <v>1</v>
      </c>
      <c r="L7">
        <v>1</v>
      </c>
      <c r="M7">
        <v>0</v>
      </c>
      <c r="N7">
        <v>1</v>
      </c>
      <c r="O7">
        <v>1</v>
      </c>
      <c r="P7">
        <v>0</v>
      </c>
      <c r="Q7">
        <v>1</v>
      </c>
      <c r="R7">
        <v>0</v>
      </c>
      <c r="S7">
        <v>0</v>
      </c>
      <c r="T7">
        <v>0</v>
      </c>
      <c r="U7">
        <v>1</v>
      </c>
      <c r="V7">
        <v>0</v>
      </c>
      <c r="W7">
        <v>0</v>
      </c>
      <c r="X7">
        <v>0</v>
      </c>
      <c r="Y7">
        <v>0</v>
      </c>
      <c r="Z7">
        <v>1</v>
      </c>
      <c r="AA7">
        <v>1</v>
      </c>
      <c r="AB7">
        <v>1</v>
      </c>
      <c r="AC7">
        <v>1</v>
      </c>
      <c r="AD7">
        <v>0</v>
      </c>
      <c r="AE7">
        <v>1</v>
      </c>
      <c r="AF7">
        <v>1</v>
      </c>
      <c r="AG7">
        <v>0</v>
      </c>
      <c r="AH7">
        <v>1</v>
      </c>
      <c r="AI7">
        <v>1</v>
      </c>
      <c r="AJ7">
        <v>0</v>
      </c>
      <c r="AK7">
        <v>1</v>
      </c>
      <c r="AL7">
        <v>0</v>
      </c>
      <c r="AM7">
        <v>0</v>
      </c>
      <c r="AN7">
        <v>0</v>
      </c>
      <c r="AO7">
        <v>0</v>
      </c>
      <c r="AP7">
        <v>1</v>
      </c>
      <c r="AQ7">
        <v>1</v>
      </c>
      <c r="AR7">
        <v>1</v>
      </c>
      <c r="AS7">
        <v>0</v>
      </c>
      <c r="AT7">
        <v>1</v>
      </c>
      <c r="AU7">
        <v>1</v>
      </c>
      <c r="AV7">
        <v>1</v>
      </c>
      <c r="AW7">
        <v>0</v>
      </c>
      <c r="AX7">
        <v>1</v>
      </c>
      <c r="AY7">
        <v>1</v>
      </c>
      <c r="AZ7">
        <v>1</v>
      </c>
      <c r="BA7">
        <v>1</v>
      </c>
      <c r="BB7">
        <v>0</v>
      </c>
      <c r="BC7">
        <v>1</v>
      </c>
      <c r="BD7">
        <v>1</v>
      </c>
      <c r="BE7">
        <v>1</v>
      </c>
      <c r="BF7">
        <v>1</v>
      </c>
      <c r="BG7">
        <v>1</v>
      </c>
      <c r="BH7">
        <v>1</v>
      </c>
      <c r="BI7">
        <v>0</v>
      </c>
      <c r="BJ7">
        <v>0</v>
      </c>
      <c r="BK7">
        <v>1</v>
      </c>
      <c r="BL7">
        <v>1</v>
      </c>
      <c r="BM7">
        <v>0</v>
      </c>
      <c r="BN7">
        <v>1</v>
      </c>
      <c r="BO7">
        <v>1</v>
      </c>
      <c r="BP7">
        <v>1</v>
      </c>
      <c r="BQ7">
        <v>1</v>
      </c>
      <c r="BR7">
        <v>0</v>
      </c>
      <c r="BS7">
        <v>1</v>
      </c>
      <c r="BT7">
        <v>0</v>
      </c>
      <c r="BU7">
        <v>1</v>
      </c>
    </row>
    <row r="8" spans="1:73" x14ac:dyDescent="0.25">
      <c r="A8" t="s">
        <v>80</v>
      </c>
      <c r="B8">
        <v>1</v>
      </c>
      <c r="C8">
        <v>0</v>
      </c>
      <c r="D8">
        <v>0</v>
      </c>
      <c r="E8">
        <v>0</v>
      </c>
      <c r="F8">
        <v>0</v>
      </c>
      <c r="G8">
        <v>1</v>
      </c>
      <c r="H8">
        <v>1</v>
      </c>
      <c r="I8">
        <v>0</v>
      </c>
      <c r="J8">
        <v>1</v>
      </c>
      <c r="K8">
        <v>1</v>
      </c>
      <c r="L8">
        <v>1</v>
      </c>
      <c r="M8">
        <v>1</v>
      </c>
      <c r="N8">
        <v>1</v>
      </c>
      <c r="O8">
        <v>1</v>
      </c>
      <c r="P8">
        <v>0</v>
      </c>
      <c r="Q8">
        <v>0</v>
      </c>
      <c r="R8">
        <v>0</v>
      </c>
      <c r="S8">
        <v>0</v>
      </c>
      <c r="T8">
        <v>1</v>
      </c>
      <c r="U8">
        <v>1</v>
      </c>
      <c r="V8">
        <v>1</v>
      </c>
      <c r="W8">
        <v>0</v>
      </c>
      <c r="X8">
        <v>1</v>
      </c>
      <c r="Y8">
        <v>1</v>
      </c>
      <c r="Z8">
        <v>1</v>
      </c>
      <c r="AA8">
        <v>1</v>
      </c>
      <c r="AB8">
        <v>1</v>
      </c>
      <c r="AC8">
        <v>1</v>
      </c>
      <c r="AD8">
        <v>0</v>
      </c>
      <c r="AE8">
        <v>0</v>
      </c>
      <c r="AF8">
        <v>1</v>
      </c>
      <c r="AG8">
        <v>1</v>
      </c>
      <c r="AH8">
        <v>1</v>
      </c>
      <c r="AI8">
        <v>1</v>
      </c>
      <c r="AJ8">
        <v>0</v>
      </c>
      <c r="AK8">
        <v>1</v>
      </c>
      <c r="AL8">
        <v>0</v>
      </c>
      <c r="AM8">
        <v>0</v>
      </c>
      <c r="AN8">
        <v>1</v>
      </c>
      <c r="AO8">
        <v>0</v>
      </c>
      <c r="AP8">
        <v>0</v>
      </c>
      <c r="AQ8">
        <v>0</v>
      </c>
      <c r="AR8">
        <v>1</v>
      </c>
      <c r="AS8">
        <v>0</v>
      </c>
      <c r="AT8">
        <v>1</v>
      </c>
      <c r="AU8">
        <v>0</v>
      </c>
      <c r="AV8">
        <v>1</v>
      </c>
      <c r="AW8">
        <v>0</v>
      </c>
      <c r="AX8">
        <v>0</v>
      </c>
      <c r="AY8">
        <v>0</v>
      </c>
      <c r="AZ8">
        <v>0</v>
      </c>
      <c r="BA8">
        <v>1</v>
      </c>
      <c r="BB8">
        <v>0</v>
      </c>
      <c r="BC8">
        <v>1</v>
      </c>
      <c r="BD8">
        <v>0</v>
      </c>
      <c r="BE8">
        <v>0</v>
      </c>
      <c r="BF8">
        <v>1</v>
      </c>
      <c r="BG8">
        <v>0</v>
      </c>
      <c r="BH8">
        <v>1</v>
      </c>
      <c r="BI8">
        <v>0</v>
      </c>
      <c r="BJ8">
        <v>1</v>
      </c>
      <c r="BK8">
        <v>1</v>
      </c>
      <c r="BL8">
        <v>0</v>
      </c>
      <c r="BM8">
        <v>1</v>
      </c>
      <c r="BN8">
        <v>1</v>
      </c>
      <c r="BO8">
        <v>1</v>
      </c>
      <c r="BP8">
        <v>0</v>
      </c>
      <c r="BQ8">
        <v>1</v>
      </c>
      <c r="BR8">
        <v>0</v>
      </c>
      <c r="BS8">
        <v>1</v>
      </c>
      <c r="BT8">
        <v>1</v>
      </c>
      <c r="BU8">
        <v>1</v>
      </c>
    </row>
    <row r="9" spans="1:73" x14ac:dyDescent="0.25">
      <c r="A9" t="s">
        <v>81</v>
      </c>
      <c r="B9">
        <v>1</v>
      </c>
      <c r="C9">
        <v>1</v>
      </c>
      <c r="D9">
        <v>0</v>
      </c>
      <c r="E9">
        <v>1</v>
      </c>
      <c r="F9">
        <v>0</v>
      </c>
      <c r="G9">
        <v>1</v>
      </c>
      <c r="H9">
        <v>1</v>
      </c>
      <c r="I9">
        <v>1</v>
      </c>
      <c r="J9">
        <v>1</v>
      </c>
      <c r="K9">
        <v>1</v>
      </c>
      <c r="L9">
        <v>1</v>
      </c>
      <c r="M9">
        <v>2</v>
      </c>
      <c r="N9">
        <v>0</v>
      </c>
      <c r="O9">
        <v>1</v>
      </c>
      <c r="P9">
        <v>0</v>
      </c>
      <c r="Q9">
        <v>0</v>
      </c>
      <c r="R9">
        <v>0</v>
      </c>
      <c r="S9">
        <v>0</v>
      </c>
      <c r="T9">
        <v>1</v>
      </c>
      <c r="U9">
        <v>1</v>
      </c>
      <c r="V9">
        <v>1</v>
      </c>
      <c r="W9">
        <v>0</v>
      </c>
      <c r="X9">
        <v>1</v>
      </c>
      <c r="Y9">
        <v>0</v>
      </c>
      <c r="Z9">
        <v>1</v>
      </c>
      <c r="AA9">
        <v>1</v>
      </c>
      <c r="AB9">
        <v>1</v>
      </c>
      <c r="AC9">
        <v>1</v>
      </c>
      <c r="AD9">
        <v>0</v>
      </c>
      <c r="AE9">
        <v>0</v>
      </c>
      <c r="AF9">
        <v>0</v>
      </c>
      <c r="AG9">
        <v>1</v>
      </c>
      <c r="AH9">
        <v>1</v>
      </c>
      <c r="AI9">
        <v>1</v>
      </c>
      <c r="AJ9">
        <v>0</v>
      </c>
      <c r="AK9">
        <v>1</v>
      </c>
      <c r="AL9">
        <v>1</v>
      </c>
      <c r="AM9">
        <v>1</v>
      </c>
      <c r="AN9">
        <v>1</v>
      </c>
      <c r="AO9">
        <v>1</v>
      </c>
      <c r="AP9">
        <v>1</v>
      </c>
      <c r="AQ9">
        <v>0</v>
      </c>
      <c r="AR9">
        <v>1</v>
      </c>
      <c r="AS9">
        <v>1</v>
      </c>
      <c r="AT9">
        <v>1</v>
      </c>
      <c r="AU9">
        <v>0</v>
      </c>
      <c r="AV9">
        <v>1</v>
      </c>
      <c r="AW9">
        <v>0</v>
      </c>
      <c r="AX9">
        <v>1</v>
      </c>
      <c r="AY9">
        <v>1</v>
      </c>
      <c r="AZ9">
        <v>1</v>
      </c>
      <c r="BA9">
        <v>1</v>
      </c>
      <c r="BB9">
        <v>0</v>
      </c>
      <c r="BC9">
        <v>1</v>
      </c>
      <c r="BD9">
        <v>0</v>
      </c>
      <c r="BE9">
        <v>0</v>
      </c>
      <c r="BF9">
        <v>1</v>
      </c>
      <c r="BG9">
        <v>1</v>
      </c>
      <c r="BH9">
        <v>1</v>
      </c>
      <c r="BI9">
        <v>0</v>
      </c>
      <c r="BJ9">
        <v>0</v>
      </c>
      <c r="BK9">
        <v>1</v>
      </c>
      <c r="BL9">
        <v>1</v>
      </c>
      <c r="BM9">
        <v>0</v>
      </c>
      <c r="BN9">
        <v>1</v>
      </c>
      <c r="BO9">
        <v>1</v>
      </c>
      <c r="BP9">
        <v>0</v>
      </c>
      <c r="BQ9">
        <v>1</v>
      </c>
      <c r="BR9">
        <v>1</v>
      </c>
      <c r="BS9">
        <v>0</v>
      </c>
      <c r="BT9">
        <v>1</v>
      </c>
      <c r="BU9">
        <v>1</v>
      </c>
    </row>
    <row r="10" spans="1:73" x14ac:dyDescent="0.25">
      <c r="A10" t="s">
        <v>82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row>
    <row r="11" spans="1:73" x14ac:dyDescent="0.25">
      <c r="A11" t="s">
        <v>83</v>
      </c>
      <c r="B11">
        <v>0</v>
      </c>
      <c r="C11">
        <v>1</v>
      </c>
      <c r="D11">
        <v>0</v>
      </c>
      <c r="E11">
        <v>1</v>
      </c>
      <c r="F11">
        <v>0</v>
      </c>
      <c r="G11">
        <v>1</v>
      </c>
      <c r="H11">
        <v>0</v>
      </c>
      <c r="I11">
        <v>1</v>
      </c>
      <c r="J11">
        <v>1</v>
      </c>
      <c r="K11">
        <v>1</v>
      </c>
      <c r="L11">
        <v>1</v>
      </c>
      <c r="M11">
        <v>0</v>
      </c>
      <c r="N11">
        <v>1</v>
      </c>
      <c r="O11">
        <v>0</v>
      </c>
      <c r="P11">
        <v>0</v>
      </c>
      <c r="Q11">
        <v>0</v>
      </c>
      <c r="R11">
        <v>0</v>
      </c>
      <c r="S11">
        <v>1</v>
      </c>
      <c r="T11">
        <v>0</v>
      </c>
      <c r="U11">
        <v>0</v>
      </c>
      <c r="V11">
        <v>1</v>
      </c>
      <c r="W11">
        <v>1</v>
      </c>
      <c r="X11">
        <v>1</v>
      </c>
      <c r="Y11">
        <v>0</v>
      </c>
      <c r="Z11">
        <v>1</v>
      </c>
      <c r="AA11">
        <v>1</v>
      </c>
      <c r="AB11">
        <v>1</v>
      </c>
      <c r="AC11">
        <v>1</v>
      </c>
      <c r="AD11">
        <v>1</v>
      </c>
      <c r="AE11">
        <v>1</v>
      </c>
      <c r="AF11">
        <v>0</v>
      </c>
      <c r="AG11">
        <v>0</v>
      </c>
      <c r="AH11">
        <v>1</v>
      </c>
      <c r="AI11">
        <v>1</v>
      </c>
      <c r="AJ11">
        <v>0</v>
      </c>
      <c r="AK11">
        <v>1</v>
      </c>
      <c r="AL11">
        <v>0</v>
      </c>
      <c r="AM11">
        <v>1</v>
      </c>
      <c r="AN11">
        <v>0</v>
      </c>
      <c r="AO11">
        <v>1</v>
      </c>
      <c r="AP11">
        <v>1</v>
      </c>
      <c r="AQ11">
        <v>0</v>
      </c>
      <c r="AR11">
        <v>1</v>
      </c>
      <c r="AS11">
        <v>0</v>
      </c>
      <c r="AT11">
        <v>1</v>
      </c>
      <c r="AU11">
        <v>1</v>
      </c>
      <c r="AV11">
        <v>1</v>
      </c>
      <c r="AW11">
        <v>1</v>
      </c>
      <c r="AX11">
        <v>1</v>
      </c>
      <c r="AY11">
        <v>0</v>
      </c>
      <c r="AZ11">
        <v>0</v>
      </c>
      <c r="BA11">
        <v>1</v>
      </c>
      <c r="BB11">
        <v>0</v>
      </c>
      <c r="BC11">
        <v>1</v>
      </c>
      <c r="BD11">
        <v>1</v>
      </c>
      <c r="BE11">
        <v>1</v>
      </c>
      <c r="BF11">
        <v>1</v>
      </c>
      <c r="BG11">
        <v>0</v>
      </c>
      <c r="BH11">
        <v>0</v>
      </c>
      <c r="BI11">
        <v>0</v>
      </c>
      <c r="BJ11">
        <v>1</v>
      </c>
      <c r="BK11">
        <v>1</v>
      </c>
      <c r="BL11">
        <v>0</v>
      </c>
      <c r="BM11">
        <v>0</v>
      </c>
      <c r="BN11">
        <v>1</v>
      </c>
      <c r="BO11">
        <v>1</v>
      </c>
      <c r="BP11">
        <v>0</v>
      </c>
      <c r="BQ11">
        <v>1</v>
      </c>
      <c r="BR11">
        <v>0</v>
      </c>
      <c r="BS11">
        <v>0</v>
      </c>
      <c r="BT11">
        <v>1</v>
      </c>
      <c r="BU11">
        <v>1</v>
      </c>
    </row>
    <row r="12" spans="1:73" x14ac:dyDescent="0.25">
      <c r="A12" t="s">
        <v>84</v>
      </c>
      <c r="B12">
        <v>1</v>
      </c>
      <c r="C12">
        <v>1</v>
      </c>
      <c r="D12">
        <v>0</v>
      </c>
      <c r="E12">
        <v>0</v>
      </c>
      <c r="F12">
        <v>0</v>
      </c>
      <c r="G12">
        <v>0</v>
      </c>
      <c r="H12">
        <v>0</v>
      </c>
      <c r="I12">
        <v>1</v>
      </c>
      <c r="J12">
        <v>0</v>
      </c>
      <c r="K12">
        <v>1</v>
      </c>
      <c r="L12">
        <v>0</v>
      </c>
      <c r="M12">
        <v>0</v>
      </c>
      <c r="N12">
        <v>0</v>
      </c>
      <c r="O12">
        <v>1</v>
      </c>
      <c r="P12">
        <v>0</v>
      </c>
      <c r="Q12">
        <v>0</v>
      </c>
      <c r="R12">
        <v>0</v>
      </c>
      <c r="S12">
        <v>0</v>
      </c>
      <c r="T12">
        <v>0</v>
      </c>
      <c r="U12">
        <v>0</v>
      </c>
      <c r="V12">
        <v>1</v>
      </c>
      <c r="W12">
        <v>0</v>
      </c>
      <c r="X12">
        <v>1</v>
      </c>
      <c r="Y12">
        <v>0</v>
      </c>
      <c r="Z12">
        <v>1</v>
      </c>
      <c r="AA12">
        <v>0</v>
      </c>
      <c r="AB12">
        <v>1</v>
      </c>
      <c r="AC12">
        <v>1</v>
      </c>
      <c r="AD12">
        <v>0</v>
      </c>
      <c r="AE12">
        <v>1</v>
      </c>
      <c r="AF12">
        <v>0</v>
      </c>
      <c r="AG12">
        <v>0</v>
      </c>
      <c r="AH12">
        <v>1</v>
      </c>
      <c r="AI12">
        <v>1</v>
      </c>
      <c r="AJ12">
        <v>0</v>
      </c>
      <c r="AK12">
        <v>1</v>
      </c>
      <c r="AL12">
        <v>1</v>
      </c>
      <c r="AM12">
        <v>0</v>
      </c>
      <c r="AN12">
        <v>1</v>
      </c>
      <c r="AO12">
        <v>1</v>
      </c>
      <c r="AP12">
        <v>1</v>
      </c>
      <c r="AQ12">
        <v>0</v>
      </c>
      <c r="AR12">
        <v>0</v>
      </c>
      <c r="AS12">
        <v>1</v>
      </c>
      <c r="AT12">
        <v>1</v>
      </c>
      <c r="AU12">
        <v>1</v>
      </c>
      <c r="AV12">
        <v>1</v>
      </c>
      <c r="AW12">
        <v>0</v>
      </c>
      <c r="AX12">
        <v>1</v>
      </c>
      <c r="AY12">
        <v>0</v>
      </c>
      <c r="AZ12">
        <v>0</v>
      </c>
      <c r="BA12">
        <v>1</v>
      </c>
      <c r="BB12">
        <v>0</v>
      </c>
      <c r="BC12">
        <v>1</v>
      </c>
      <c r="BD12">
        <v>0</v>
      </c>
      <c r="BE12">
        <v>0</v>
      </c>
      <c r="BF12">
        <v>1</v>
      </c>
      <c r="BG12">
        <v>0</v>
      </c>
      <c r="BH12">
        <v>1</v>
      </c>
      <c r="BI12">
        <v>0</v>
      </c>
      <c r="BJ12">
        <v>0</v>
      </c>
      <c r="BK12">
        <v>1</v>
      </c>
      <c r="BL12">
        <v>0</v>
      </c>
      <c r="BM12">
        <v>0</v>
      </c>
      <c r="BN12">
        <v>1</v>
      </c>
      <c r="BO12">
        <v>1</v>
      </c>
      <c r="BP12">
        <v>1</v>
      </c>
      <c r="BQ12">
        <v>0</v>
      </c>
      <c r="BR12">
        <v>0</v>
      </c>
      <c r="BS12">
        <v>0</v>
      </c>
      <c r="BT12">
        <v>1</v>
      </c>
      <c r="BU12">
        <v>1</v>
      </c>
    </row>
    <row r="13" spans="1:73" x14ac:dyDescent="0.25">
      <c r="A13" t="s">
        <v>85</v>
      </c>
      <c r="B13">
        <v>1</v>
      </c>
      <c r="C13">
        <v>1</v>
      </c>
      <c r="D13">
        <v>0</v>
      </c>
      <c r="E13">
        <v>1</v>
      </c>
      <c r="F13">
        <v>1</v>
      </c>
      <c r="G13">
        <v>1</v>
      </c>
      <c r="H13">
        <v>1</v>
      </c>
      <c r="I13">
        <v>1</v>
      </c>
      <c r="J13">
        <v>1</v>
      </c>
      <c r="K13">
        <v>1</v>
      </c>
      <c r="L13">
        <v>1</v>
      </c>
      <c r="M13">
        <v>0</v>
      </c>
      <c r="N13">
        <v>0</v>
      </c>
      <c r="O13">
        <v>1</v>
      </c>
      <c r="P13">
        <v>0</v>
      </c>
      <c r="Q13">
        <v>1</v>
      </c>
      <c r="R13">
        <v>0</v>
      </c>
      <c r="S13">
        <v>0</v>
      </c>
      <c r="T13">
        <v>1</v>
      </c>
      <c r="U13">
        <v>1</v>
      </c>
      <c r="V13">
        <v>1</v>
      </c>
      <c r="W13">
        <v>0</v>
      </c>
      <c r="X13">
        <v>1</v>
      </c>
      <c r="Y13">
        <v>1</v>
      </c>
      <c r="Z13">
        <v>1</v>
      </c>
      <c r="AA13">
        <v>1</v>
      </c>
      <c r="AB13">
        <v>1</v>
      </c>
      <c r="AC13">
        <v>1</v>
      </c>
      <c r="AD13">
        <v>1</v>
      </c>
      <c r="AE13">
        <v>1</v>
      </c>
      <c r="AF13">
        <v>1</v>
      </c>
      <c r="AG13">
        <v>1</v>
      </c>
      <c r="AH13">
        <v>1</v>
      </c>
      <c r="AI13">
        <v>1</v>
      </c>
      <c r="AJ13">
        <v>0</v>
      </c>
      <c r="AK13">
        <v>1</v>
      </c>
      <c r="AL13">
        <v>0</v>
      </c>
      <c r="AM13">
        <v>0</v>
      </c>
      <c r="AN13">
        <v>1</v>
      </c>
      <c r="AO13">
        <v>1</v>
      </c>
      <c r="AP13">
        <v>1</v>
      </c>
      <c r="AQ13">
        <v>1</v>
      </c>
      <c r="AR13">
        <v>1</v>
      </c>
      <c r="AS13">
        <v>1</v>
      </c>
      <c r="AT13">
        <v>1</v>
      </c>
      <c r="AU13">
        <v>1</v>
      </c>
      <c r="AV13">
        <v>1</v>
      </c>
      <c r="AW13">
        <v>0</v>
      </c>
      <c r="AX13">
        <v>1</v>
      </c>
      <c r="AY13">
        <v>0</v>
      </c>
      <c r="AZ13">
        <v>1</v>
      </c>
      <c r="BA13">
        <v>1</v>
      </c>
      <c r="BB13">
        <v>0</v>
      </c>
      <c r="BC13">
        <v>1</v>
      </c>
      <c r="BD13">
        <v>1</v>
      </c>
      <c r="BE13">
        <v>0</v>
      </c>
      <c r="BF13">
        <v>1</v>
      </c>
      <c r="BG13">
        <v>1</v>
      </c>
      <c r="BH13">
        <v>1</v>
      </c>
      <c r="BI13">
        <v>1</v>
      </c>
      <c r="BJ13">
        <v>1</v>
      </c>
      <c r="BK13">
        <v>1</v>
      </c>
      <c r="BL13">
        <v>1</v>
      </c>
      <c r="BM13">
        <v>1</v>
      </c>
      <c r="BN13">
        <v>1</v>
      </c>
      <c r="BO13">
        <v>1</v>
      </c>
      <c r="BP13">
        <v>0</v>
      </c>
      <c r="BQ13">
        <v>1</v>
      </c>
      <c r="BR13">
        <v>1</v>
      </c>
      <c r="BS13">
        <v>0</v>
      </c>
      <c r="BT13">
        <v>1</v>
      </c>
      <c r="BU13">
        <v>1</v>
      </c>
    </row>
    <row r="14" spans="1:73" x14ac:dyDescent="0.25">
      <c r="A14" t="s">
        <v>86</v>
      </c>
      <c r="B14">
        <v>0</v>
      </c>
      <c r="C14">
        <v>0</v>
      </c>
      <c r="D14">
        <v>0</v>
      </c>
      <c r="E14">
        <v>0</v>
      </c>
      <c r="F14">
        <v>0</v>
      </c>
      <c r="G14">
        <v>1</v>
      </c>
      <c r="H14">
        <v>0</v>
      </c>
      <c r="I14">
        <v>0</v>
      </c>
      <c r="J14">
        <v>0</v>
      </c>
      <c r="K14">
        <v>1</v>
      </c>
      <c r="L14">
        <v>0</v>
      </c>
      <c r="M14">
        <v>0</v>
      </c>
      <c r="N14">
        <v>1</v>
      </c>
      <c r="O14">
        <v>0</v>
      </c>
      <c r="P14">
        <v>0</v>
      </c>
      <c r="Q14">
        <v>0</v>
      </c>
      <c r="R14">
        <v>0</v>
      </c>
      <c r="S14">
        <v>0</v>
      </c>
      <c r="T14">
        <v>0</v>
      </c>
      <c r="U14">
        <v>0</v>
      </c>
      <c r="V14">
        <v>0</v>
      </c>
      <c r="W14">
        <v>0</v>
      </c>
      <c r="X14">
        <v>0</v>
      </c>
      <c r="Y14">
        <v>0</v>
      </c>
      <c r="Z14">
        <v>1</v>
      </c>
      <c r="AA14">
        <v>0</v>
      </c>
      <c r="AB14">
        <v>1</v>
      </c>
      <c r="AC14">
        <v>0</v>
      </c>
      <c r="AD14">
        <v>0</v>
      </c>
      <c r="AE14">
        <v>0</v>
      </c>
      <c r="AF14">
        <v>0</v>
      </c>
      <c r="AG14">
        <v>0</v>
      </c>
      <c r="AH14">
        <v>1</v>
      </c>
      <c r="AI14">
        <v>1</v>
      </c>
      <c r="AJ14">
        <v>0</v>
      </c>
      <c r="AK14">
        <v>0</v>
      </c>
      <c r="AL14">
        <v>0</v>
      </c>
      <c r="AM14">
        <v>0</v>
      </c>
      <c r="AN14">
        <v>0</v>
      </c>
      <c r="AO14">
        <v>1</v>
      </c>
      <c r="AP14">
        <v>0</v>
      </c>
      <c r="AQ14">
        <v>0</v>
      </c>
      <c r="AR14">
        <v>1</v>
      </c>
      <c r="AS14">
        <v>1</v>
      </c>
      <c r="AT14">
        <v>1</v>
      </c>
      <c r="AU14">
        <v>0</v>
      </c>
      <c r="AV14">
        <v>0</v>
      </c>
      <c r="AW14">
        <v>0</v>
      </c>
      <c r="AX14">
        <v>0</v>
      </c>
      <c r="AY14">
        <v>0</v>
      </c>
      <c r="AZ14">
        <v>1</v>
      </c>
      <c r="BA14">
        <v>1</v>
      </c>
      <c r="BB14">
        <v>1</v>
      </c>
      <c r="BC14">
        <v>1</v>
      </c>
      <c r="BD14">
        <v>0</v>
      </c>
      <c r="BE14">
        <v>0</v>
      </c>
      <c r="BF14">
        <v>1</v>
      </c>
      <c r="BG14">
        <v>0</v>
      </c>
      <c r="BH14">
        <v>0</v>
      </c>
      <c r="BI14">
        <v>0</v>
      </c>
      <c r="BJ14">
        <v>0</v>
      </c>
      <c r="BK14">
        <v>1</v>
      </c>
      <c r="BL14">
        <v>0</v>
      </c>
      <c r="BM14">
        <v>0</v>
      </c>
      <c r="BN14">
        <v>1</v>
      </c>
      <c r="BO14">
        <v>1</v>
      </c>
      <c r="BP14">
        <v>0</v>
      </c>
      <c r="BQ14">
        <v>1</v>
      </c>
      <c r="BR14">
        <v>0</v>
      </c>
      <c r="BS14">
        <v>0</v>
      </c>
      <c r="BT14">
        <v>0</v>
      </c>
      <c r="BU14">
        <v>1</v>
      </c>
    </row>
    <row r="15" spans="1:73" x14ac:dyDescent="0.25">
      <c r="A15" t="s">
        <v>87</v>
      </c>
      <c r="B15">
        <v>1</v>
      </c>
      <c r="C15">
        <v>0</v>
      </c>
      <c r="D15">
        <v>0</v>
      </c>
      <c r="E15">
        <v>0</v>
      </c>
      <c r="F15">
        <v>0</v>
      </c>
      <c r="G15">
        <v>1</v>
      </c>
      <c r="H15">
        <v>1</v>
      </c>
      <c r="I15">
        <v>1</v>
      </c>
      <c r="J15">
        <v>1</v>
      </c>
      <c r="K15">
        <v>1</v>
      </c>
      <c r="L15">
        <v>0</v>
      </c>
      <c r="M15">
        <v>0</v>
      </c>
      <c r="N15">
        <v>1</v>
      </c>
      <c r="O15">
        <v>1</v>
      </c>
      <c r="P15">
        <v>0</v>
      </c>
      <c r="Q15">
        <v>0</v>
      </c>
      <c r="R15">
        <v>1</v>
      </c>
      <c r="S15">
        <v>0</v>
      </c>
      <c r="T15">
        <v>0</v>
      </c>
      <c r="U15">
        <v>0</v>
      </c>
      <c r="V15">
        <v>1</v>
      </c>
      <c r="W15">
        <v>0</v>
      </c>
      <c r="X15">
        <v>1</v>
      </c>
      <c r="Y15">
        <v>1</v>
      </c>
      <c r="Z15">
        <v>1</v>
      </c>
      <c r="AA15">
        <v>1</v>
      </c>
      <c r="AB15">
        <v>1</v>
      </c>
      <c r="AC15">
        <v>1</v>
      </c>
      <c r="AD15">
        <v>0</v>
      </c>
      <c r="AE15">
        <v>1</v>
      </c>
      <c r="AF15">
        <v>0</v>
      </c>
      <c r="AG15">
        <v>1</v>
      </c>
      <c r="AH15">
        <v>1</v>
      </c>
      <c r="AI15">
        <v>1</v>
      </c>
      <c r="AJ15">
        <v>0</v>
      </c>
      <c r="AK15">
        <v>1</v>
      </c>
      <c r="AL15">
        <v>0</v>
      </c>
      <c r="AM15">
        <v>1</v>
      </c>
      <c r="AN15">
        <v>0</v>
      </c>
      <c r="AO15">
        <v>1</v>
      </c>
      <c r="AP15">
        <v>0</v>
      </c>
      <c r="AQ15">
        <v>0</v>
      </c>
      <c r="AR15">
        <v>1</v>
      </c>
      <c r="AS15">
        <v>1</v>
      </c>
      <c r="AT15">
        <v>1</v>
      </c>
      <c r="AU15">
        <v>0</v>
      </c>
      <c r="AV15">
        <v>1</v>
      </c>
      <c r="AW15">
        <v>0</v>
      </c>
      <c r="AX15">
        <v>1</v>
      </c>
      <c r="AY15">
        <v>1</v>
      </c>
      <c r="AZ15">
        <v>1</v>
      </c>
      <c r="BA15">
        <v>1</v>
      </c>
      <c r="BB15">
        <v>0</v>
      </c>
      <c r="BC15">
        <v>1</v>
      </c>
      <c r="BD15">
        <v>0</v>
      </c>
      <c r="BE15">
        <v>0</v>
      </c>
      <c r="BF15">
        <v>1</v>
      </c>
      <c r="BG15">
        <v>0</v>
      </c>
      <c r="BH15">
        <v>0</v>
      </c>
      <c r="BI15">
        <v>0</v>
      </c>
      <c r="BJ15">
        <v>1</v>
      </c>
      <c r="BK15">
        <v>1</v>
      </c>
      <c r="BL15">
        <v>0</v>
      </c>
      <c r="BM15">
        <v>0</v>
      </c>
      <c r="BN15">
        <v>1</v>
      </c>
      <c r="BO15">
        <v>1</v>
      </c>
      <c r="BP15">
        <v>0</v>
      </c>
      <c r="BQ15">
        <v>0</v>
      </c>
      <c r="BR15">
        <v>0</v>
      </c>
      <c r="BS15">
        <v>1</v>
      </c>
      <c r="BT15">
        <v>1</v>
      </c>
      <c r="BU15">
        <v>1</v>
      </c>
    </row>
    <row r="16" spans="1:73" x14ac:dyDescent="0.25">
      <c r="A16" t="s">
        <v>88</v>
      </c>
      <c r="B16">
        <v>1</v>
      </c>
      <c r="C16">
        <v>1</v>
      </c>
      <c r="D16">
        <v>0</v>
      </c>
      <c r="E16">
        <v>1</v>
      </c>
      <c r="F16">
        <v>1</v>
      </c>
      <c r="G16">
        <v>1</v>
      </c>
      <c r="H16">
        <v>1</v>
      </c>
      <c r="I16">
        <v>1</v>
      </c>
      <c r="J16">
        <v>1</v>
      </c>
      <c r="K16">
        <v>1</v>
      </c>
      <c r="L16">
        <v>1</v>
      </c>
      <c r="M16">
        <v>0</v>
      </c>
      <c r="N16">
        <v>1</v>
      </c>
      <c r="O16">
        <v>1</v>
      </c>
      <c r="P16">
        <v>0</v>
      </c>
      <c r="Q16">
        <v>1</v>
      </c>
      <c r="R16">
        <v>0</v>
      </c>
      <c r="S16">
        <v>0</v>
      </c>
      <c r="T16">
        <v>0</v>
      </c>
      <c r="U16">
        <v>1</v>
      </c>
      <c r="V16">
        <v>1</v>
      </c>
      <c r="W16">
        <v>0</v>
      </c>
      <c r="X16">
        <v>1</v>
      </c>
      <c r="Y16">
        <v>1</v>
      </c>
      <c r="Z16">
        <v>1</v>
      </c>
      <c r="AA16">
        <v>1</v>
      </c>
      <c r="AB16">
        <v>1</v>
      </c>
      <c r="AC16">
        <v>1</v>
      </c>
      <c r="AD16">
        <v>1</v>
      </c>
      <c r="AE16">
        <v>1</v>
      </c>
      <c r="AF16">
        <v>1</v>
      </c>
      <c r="AG16">
        <v>1</v>
      </c>
      <c r="AH16">
        <v>1</v>
      </c>
      <c r="AI16">
        <v>1</v>
      </c>
      <c r="AJ16">
        <v>0</v>
      </c>
      <c r="AK16">
        <v>1</v>
      </c>
      <c r="AL16">
        <v>0</v>
      </c>
      <c r="AM16">
        <v>0</v>
      </c>
      <c r="AN16">
        <v>1</v>
      </c>
      <c r="AO16">
        <v>1</v>
      </c>
      <c r="AP16">
        <v>1</v>
      </c>
      <c r="AQ16">
        <v>1</v>
      </c>
      <c r="AR16">
        <v>1</v>
      </c>
      <c r="AS16">
        <v>1</v>
      </c>
      <c r="AT16">
        <v>1</v>
      </c>
      <c r="AU16">
        <v>1</v>
      </c>
      <c r="AV16">
        <v>1</v>
      </c>
      <c r="AW16">
        <v>0</v>
      </c>
      <c r="AX16">
        <v>1</v>
      </c>
      <c r="AY16">
        <v>1</v>
      </c>
      <c r="AZ16">
        <v>1</v>
      </c>
      <c r="BA16">
        <v>1</v>
      </c>
      <c r="BB16">
        <v>0</v>
      </c>
      <c r="BC16">
        <v>1</v>
      </c>
      <c r="BD16">
        <v>0</v>
      </c>
      <c r="BE16">
        <v>1</v>
      </c>
      <c r="BF16">
        <v>1</v>
      </c>
      <c r="BG16">
        <v>1</v>
      </c>
      <c r="BH16">
        <v>1</v>
      </c>
      <c r="BI16">
        <v>0</v>
      </c>
      <c r="BJ16">
        <v>1</v>
      </c>
      <c r="BK16">
        <v>1</v>
      </c>
      <c r="BL16">
        <v>0</v>
      </c>
      <c r="BM16">
        <v>1</v>
      </c>
      <c r="BN16">
        <v>1</v>
      </c>
      <c r="BO16">
        <v>1</v>
      </c>
      <c r="BP16">
        <v>1</v>
      </c>
      <c r="BQ16">
        <v>1</v>
      </c>
      <c r="BR16">
        <v>1</v>
      </c>
      <c r="BS16">
        <v>0</v>
      </c>
      <c r="BT16">
        <v>1</v>
      </c>
      <c r="BU16">
        <v>1</v>
      </c>
    </row>
    <row r="17" spans="1:73" x14ac:dyDescent="0.25">
      <c r="A17" t="s">
        <v>89</v>
      </c>
      <c r="B17">
        <v>1</v>
      </c>
      <c r="C17">
        <v>1</v>
      </c>
      <c r="D17">
        <v>1</v>
      </c>
      <c r="E17">
        <v>1</v>
      </c>
      <c r="F17">
        <v>1</v>
      </c>
      <c r="G17">
        <v>1</v>
      </c>
      <c r="H17">
        <v>1</v>
      </c>
      <c r="I17">
        <v>0</v>
      </c>
      <c r="J17">
        <v>1</v>
      </c>
      <c r="K17">
        <v>1</v>
      </c>
      <c r="L17">
        <v>1</v>
      </c>
      <c r="M17">
        <v>0</v>
      </c>
      <c r="N17">
        <v>1</v>
      </c>
      <c r="O17">
        <v>1</v>
      </c>
      <c r="P17">
        <v>0</v>
      </c>
      <c r="Q17">
        <v>0</v>
      </c>
      <c r="R17">
        <v>1</v>
      </c>
      <c r="S17">
        <v>0</v>
      </c>
      <c r="T17">
        <v>1</v>
      </c>
      <c r="U17">
        <v>1</v>
      </c>
      <c r="V17">
        <v>1</v>
      </c>
      <c r="W17">
        <v>0</v>
      </c>
      <c r="X17">
        <v>1</v>
      </c>
      <c r="Y17">
        <v>1</v>
      </c>
      <c r="Z17">
        <v>1</v>
      </c>
      <c r="AA17">
        <v>1</v>
      </c>
      <c r="AB17">
        <v>1</v>
      </c>
      <c r="AC17">
        <v>1</v>
      </c>
      <c r="AD17">
        <v>1</v>
      </c>
      <c r="AE17">
        <v>1</v>
      </c>
      <c r="AF17">
        <v>1</v>
      </c>
      <c r="AG17">
        <v>1</v>
      </c>
      <c r="AH17">
        <v>1</v>
      </c>
      <c r="AI17">
        <v>1</v>
      </c>
      <c r="AJ17">
        <v>0</v>
      </c>
      <c r="AK17">
        <v>1</v>
      </c>
      <c r="AL17">
        <v>1</v>
      </c>
      <c r="AM17">
        <v>1</v>
      </c>
      <c r="AN17">
        <v>1</v>
      </c>
      <c r="AO17">
        <v>1</v>
      </c>
      <c r="AP17">
        <v>1</v>
      </c>
      <c r="AQ17">
        <v>1</v>
      </c>
      <c r="AR17">
        <v>1</v>
      </c>
      <c r="AS17">
        <v>0</v>
      </c>
      <c r="AT17">
        <v>1</v>
      </c>
      <c r="AU17">
        <v>1</v>
      </c>
      <c r="AV17">
        <v>1</v>
      </c>
      <c r="AW17">
        <v>0</v>
      </c>
      <c r="AX17">
        <v>1</v>
      </c>
      <c r="AY17">
        <v>0</v>
      </c>
      <c r="AZ17">
        <v>1</v>
      </c>
      <c r="BA17">
        <v>1</v>
      </c>
      <c r="BB17">
        <v>1</v>
      </c>
      <c r="BC17">
        <v>1</v>
      </c>
      <c r="BD17">
        <v>1</v>
      </c>
      <c r="BE17">
        <v>1</v>
      </c>
      <c r="BF17">
        <v>1</v>
      </c>
      <c r="BG17">
        <v>1</v>
      </c>
      <c r="BH17">
        <v>1</v>
      </c>
      <c r="BI17">
        <v>1</v>
      </c>
      <c r="BJ17">
        <v>1</v>
      </c>
      <c r="BK17">
        <v>1</v>
      </c>
      <c r="BL17">
        <v>1</v>
      </c>
      <c r="BM17">
        <v>0</v>
      </c>
      <c r="BN17">
        <v>1</v>
      </c>
      <c r="BO17">
        <v>1</v>
      </c>
      <c r="BP17">
        <v>1</v>
      </c>
      <c r="BQ17">
        <v>1</v>
      </c>
      <c r="BR17">
        <v>1</v>
      </c>
      <c r="BS17">
        <v>1</v>
      </c>
      <c r="BT17">
        <v>1</v>
      </c>
      <c r="BU17">
        <v>1</v>
      </c>
    </row>
    <row r="18" spans="1:73" x14ac:dyDescent="0.25">
      <c r="A18" t="s">
        <v>90</v>
      </c>
      <c r="B18">
        <v>1</v>
      </c>
      <c r="C18">
        <v>1</v>
      </c>
      <c r="D18">
        <v>1</v>
      </c>
      <c r="E18">
        <v>1</v>
      </c>
      <c r="F18">
        <v>1</v>
      </c>
      <c r="G18">
        <v>1</v>
      </c>
      <c r="H18">
        <v>1</v>
      </c>
      <c r="I18">
        <v>1</v>
      </c>
      <c r="J18">
        <v>1</v>
      </c>
      <c r="K18">
        <v>1</v>
      </c>
      <c r="L18">
        <v>1</v>
      </c>
      <c r="M18">
        <v>1</v>
      </c>
      <c r="N18">
        <v>1</v>
      </c>
      <c r="O18">
        <v>1</v>
      </c>
      <c r="P18">
        <v>0</v>
      </c>
      <c r="Q18">
        <v>1</v>
      </c>
      <c r="R18">
        <v>1</v>
      </c>
      <c r="S18">
        <v>1</v>
      </c>
      <c r="T18">
        <v>1</v>
      </c>
      <c r="U18">
        <v>1</v>
      </c>
      <c r="V18">
        <v>1</v>
      </c>
      <c r="W18">
        <v>1</v>
      </c>
      <c r="X18">
        <v>1</v>
      </c>
      <c r="Y18">
        <v>1</v>
      </c>
      <c r="Z18">
        <v>1</v>
      </c>
      <c r="AA18">
        <v>1</v>
      </c>
      <c r="AB18">
        <v>1</v>
      </c>
      <c r="AC18">
        <v>1</v>
      </c>
      <c r="AD18">
        <v>1</v>
      </c>
      <c r="AE18">
        <v>1</v>
      </c>
      <c r="AF18">
        <v>1</v>
      </c>
      <c r="AG18">
        <v>1</v>
      </c>
      <c r="AH18">
        <v>1</v>
      </c>
      <c r="AI18">
        <v>1</v>
      </c>
      <c r="AJ18">
        <v>0</v>
      </c>
      <c r="AK18">
        <v>1</v>
      </c>
      <c r="AL18">
        <v>1</v>
      </c>
      <c r="AM18">
        <v>1</v>
      </c>
      <c r="AN18">
        <v>1</v>
      </c>
      <c r="AO18">
        <v>1</v>
      </c>
      <c r="AP18">
        <v>1</v>
      </c>
      <c r="AQ18">
        <v>1</v>
      </c>
      <c r="AR18">
        <v>1</v>
      </c>
      <c r="AS18">
        <v>2</v>
      </c>
      <c r="AT18">
        <v>1</v>
      </c>
      <c r="AU18">
        <v>1</v>
      </c>
      <c r="AV18">
        <v>1</v>
      </c>
      <c r="AW18">
        <v>0</v>
      </c>
      <c r="AX18">
        <v>1</v>
      </c>
      <c r="AY18">
        <v>1</v>
      </c>
      <c r="AZ18">
        <v>1</v>
      </c>
      <c r="BA18">
        <v>1</v>
      </c>
      <c r="BB18">
        <v>1</v>
      </c>
      <c r="BC18">
        <v>1</v>
      </c>
      <c r="BD18">
        <v>1</v>
      </c>
      <c r="BE18">
        <v>1</v>
      </c>
      <c r="BF18">
        <v>1</v>
      </c>
      <c r="BG18">
        <v>1</v>
      </c>
      <c r="BH18">
        <v>1</v>
      </c>
      <c r="BI18">
        <v>0</v>
      </c>
      <c r="BJ18">
        <v>1</v>
      </c>
      <c r="BK18">
        <v>1</v>
      </c>
      <c r="BL18">
        <v>1</v>
      </c>
      <c r="BM18">
        <v>1</v>
      </c>
      <c r="BN18">
        <v>1</v>
      </c>
      <c r="BO18">
        <v>1</v>
      </c>
      <c r="BP18">
        <v>1</v>
      </c>
      <c r="BQ18">
        <v>1</v>
      </c>
      <c r="BR18">
        <v>1</v>
      </c>
      <c r="BS18">
        <v>1</v>
      </c>
      <c r="BT18">
        <v>1</v>
      </c>
      <c r="BU18">
        <v>1</v>
      </c>
    </row>
    <row r="19" spans="1:73" x14ac:dyDescent="0.25">
      <c r="A19" t="s">
        <v>91</v>
      </c>
      <c r="B19">
        <v>1</v>
      </c>
      <c r="C19">
        <v>1</v>
      </c>
      <c r="D19">
        <v>0</v>
      </c>
      <c r="E19">
        <v>1</v>
      </c>
      <c r="F19">
        <v>1</v>
      </c>
      <c r="G19">
        <v>1</v>
      </c>
      <c r="H19">
        <v>1</v>
      </c>
      <c r="I19">
        <v>0</v>
      </c>
      <c r="J19">
        <v>1</v>
      </c>
      <c r="K19">
        <v>1</v>
      </c>
      <c r="L19">
        <v>1</v>
      </c>
      <c r="M19">
        <v>0</v>
      </c>
      <c r="N19">
        <v>1</v>
      </c>
      <c r="O19">
        <v>1</v>
      </c>
      <c r="P19">
        <v>0</v>
      </c>
      <c r="Q19">
        <v>1</v>
      </c>
      <c r="R19">
        <v>0</v>
      </c>
      <c r="S19">
        <v>1</v>
      </c>
      <c r="T19">
        <v>0</v>
      </c>
      <c r="U19">
        <v>1</v>
      </c>
      <c r="V19">
        <v>1</v>
      </c>
      <c r="W19">
        <v>1</v>
      </c>
      <c r="X19">
        <v>1</v>
      </c>
      <c r="Y19">
        <v>0</v>
      </c>
      <c r="Z19">
        <v>1</v>
      </c>
      <c r="AA19">
        <v>1</v>
      </c>
      <c r="AB19">
        <v>1</v>
      </c>
      <c r="AC19">
        <v>1</v>
      </c>
      <c r="AD19">
        <v>0</v>
      </c>
      <c r="AE19">
        <v>1</v>
      </c>
      <c r="AF19">
        <v>1</v>
      </c>
      <c r="AG19">
        <v>1</v>
      </c>
      <c r="AH19">
        <v>1</v>
      </c>
      <c r="AI19">
        <v>1</v>
      </c>
      <c r="AJ19">
        <v>0</v>
      </c>
      <c r="AK19">
        <v>1</v>
      </c>
      <c r="AL19">
        <v>0</v>
      </c>
      <c r="AM19">
        <v>0</v>
      </c>
      <c r="AN19">
        <v>1</v>
      </c>
      <c r="AO19">
        <v>1</v>
      </c>
      <c r="AP19">
        <v>1</v>
      </c>
      <c r="AQ19">
        <v>1</v>
      </c>
      <c r="AR19">
        <v>1</v>
      </c>
      <c r="AS19">
        <v>1</v>
      </c>
      <c r="AT19">
        <v>1</v>
      </c>
      <c r="AU19">
        <v>1</v>
      </c>
      <c r="AV19">
        <v>1</v>
      </c>
      <c r="AW19">
        <v>0</v>
      </c>
      <c r="AX19">
        <v>1</v>
      </c>
      <c r="AY19">
        <v>1</v>
      </c>
      <c r="AZ19">
        <v>1</v>
      </c>
      <c r="BA19">
        <v>1</v>
      </c>
      <c r="BB19">
        <v>1</v>
      </c>
      <c r="BC19">
        <v>1</v>
      </c>
      <c r="BD19">
        <v>0</v>
      </c>
      <c r="BE19">
        <v>1</v>
      </c>
      <c r="BF19">
        <v>1</v>
      </c>
      <c r="BG19">
        <v>1</v>
      </c>
      <c r="BH19">
        <v>1</v>
      </c>
      <c r="BI19">
        <v>1</v>
      </c>
      <c r="BJ19">
        <v>1</v>
      </c>
      <c r="BK19">
        <v>1</v>
      </c>
      <c r="BL19">
        <v>1</v>
      </c>
      <c r="BM19">
        <v>0</v>
      </c>
      <c r="BN19">
        <v>1</v>
      </c>
      <c r="BO19">
        <v>1</v>
      </c>
      <c r="BP19">
        <v>0</v>
      </c>
      <c r="BQ19">
        <v>0</v>
      </c>
      <c r="BR19">
        <v>1</v>
      </c>
      <c r="BS19">
        <v>1</v>
      </c>
      <c r="BT19">
        <v>1</v>
      </c>
      <c r="BU19">
        <v>1</v>
      </c>
    </row>
    <row r="20" spans="1:73" x14ac:dyDescent="0.25">
      <c r="A20" t="s">
        <v>92</v>
      </c>
      <c r="B20">
        <v>0</v>
      </c>
      <c r="C20">
        <v>1</v>
      </c>
      <c r="D20">
        <v>0</v>
      </c>
      <c r="E20">
        <v>0</v>
      </c>
      <c r="F20">
        <v>1</v>
      </c>
      <c r="G20">
        <v>1</v>
      </c>
      <c r="H20">
        <v>0</v>
      </c>
      <c r="I20">
        <v>1</v>
      </c>
      <c r="J20">
        <v>1</v>
      </c>
      <c r="K20">
        <v>1</v>
      </c>
      <c r="L20">
        <v>1</v>
      </c>
      <c r="M20">
        <v>0</v>
      </c>
      <c r="N20">
        <v>0</v>
      </c>
      <c r="O20">
        <v>0</v>
      </c>
      <c r="P20">
        <v>0</v>
      </c>
      <c r="Q20">
        <v>1</v>
      </c>
      <c r="R20">
        <v>0</v>
      </c>
      <c r="S20">
        <v>0</v>
      </c>
      <c r="T20">
        <v>1</v>
      </c>
      <c r="U20">
        <v>1</v>
      </c>
      <c r="V20">
        <v>1</v>
      </c>
      <c r="W20">
        <v>0</v>
      </c>
      <c r="X20">
        <v>1</v>
      </c>
      <c r="Y20">
        <v>0</v>
      </c>
      <c r="Z20">
        <v>1</v>
      </c>
      <c r="AA20">
        <v>1</v>
      </c>
      <c r="AB20">
        <v>1</v>
      </c>
      <c r="AC20">
        <v>1</v>
      </c>
      <c r="AD20">
        <v>0</v>
      </c>
      <c r="AE20">
        <v>0</v>
      </c>
      <c r="AF20">
        <v>1</v>
      </c>
      <c r="AG20">
        <v>0</v>
      </c>
      <c r="AH20">
        <v>1</v>
      </c>
      <c r="AI20">
        <v>1</v>
      </c>
      <c r="AJ20">
        <v>0</v>
      </c>
      <c r="AK20">
        <v>1</v>
      </c>
      <c r="AL20">
        <v>1</v>
      </c>
      <c r="AM20">
        <v>1</v>
      </c>
      <c r="AN20">
        <v>0</v>
      </c>
      <c r="AO20">
        <v>1</v>
      </c>
      <c r="AP20">
        <v>1</v>
      </c>
      <c r="AQ20">
        <v>1</v>
      </c>
      <c r="AR20">
        <v>1</v>
      </c>
      <c r="AS20">
        <v>0</v>
      </c>
      <c r="AT20">
        <v>1</v>
      </c>
      <c r="AU20">
        <v>1</v>
      </c>
      <c r="AV20">
        <v>0</v>
      </c>
      <c r="AW20">
        <v>0</v>
      </c>
      <c r="AX20">
        <v>1</v>
      </c>
      <c r="AY20">
        <v>0</v>
      </c>
      <c r="AZ20">
        <v>0</v>
      </c>
      <c r="BA20">
        <v>1</v>
      </c>
      <c r="BB20">
        <v>0</v>
      </c>
      <c r="BC20">
        <v>1</v>
      </c>
      <c r="BD20">
        <v>1</v>
      </c>
      <c r="BE20">
        <v>1</v>
      </c>
      <c r="BF20">
        <v>1</v>
      </c>
      <c r="BG20">
        <v>0</v>
      </c>
      <c r="BH20">
        <v>0</v>
      </c>
      <c r="BI20">
        <v>0</v>
      </c>
      <c r="BJ20">
        <v>1</v>
      </c>
      <c r="BK20">
        <v>1</v>
      </c>
      <c r="BL20">
        <v>0</v>
      </c>
      <c r="BM20">
        <v>1</v>
      </c>
      <c r="BN20">
        <v>1</v>
      </c>
      <c r="BO20">
        <v>1</v>
      </c>
      <c r="BP20">
        <v>1</v>
      </c>
      <c r="BQ20">
        <v>0</v>
      </c>
      <c r="BR20">
        <v>1</v>
      </c>
      <c r="BS20">
        <v>1</v>
      </c>
      <c r="BT20">
        <v>1</v>
      </c>
      <c r="BU20">
        <v>1</v>
      </c>
    </row>
    <row r="21" spans="1:73" x14ac:dyDescent="0.25">
      <c r="A21" t="s">
        <v>93</v>
      </c>
      <c r="B21">
        <v>1</v>
      </c>
      <c r="C21">
        <v>1</v>
      </c>
      <c r="D21">
        <v>1</v>
      </c>
      <c r="E21">
        <v>1</v>
      </c>
      <c r="F21">
        <v>0</v>
      </c>
      <c r="G21">
        <v>1</v>
      </c>
      <c r="H21">
        <v>1</v>
      </c>
      <c r="I21">
        <v>1</v>
      </c>
      <c r="J21">
        <v>1</v>
      </c>
      <c r="K21">
        <v>1</v>
      </c>
      <c r="L21">
        <v>0</v>
      </c>
      <c r="M21">
        <v>1</v>
      </c>
      <c r="N21">
        <v>1</v>
      </c>
      <c r="O21">
        <v>1</v>
      </c>
      <c r="P21">
        <v>1</v>
      </c>
      <c r="Q21">
        <v>1</v>
      </c>
      <c r="R21">
        <v>1</v>
      </c>
      <c r="S21">
        <v>0</v>
      </c>
      <c r="T21">
        <v>1</v>
      </c>
      <c r="U21">
        <v>1</v>
      </c>
      <c r="V21">
        <v>1</v>
      </c>
      <c r="W21">
        <v>1</v>
      </c>
      <c r="X21">
        <v>1</v>
      </c>
      <c r="Y21">
        <v>0</v>
      </c>
      <c r="Z21">
        <v>1</v>
      </c>
      <c r="AA21">
        <v>4</v>
      </c>
      <c r="AB21">
        <v>0</v>
      </c>
      <c r="AC21">
        <v>1</v>
      </c>
      <c r="AD21">
        <v>1</v>
      </c>
      <c r="AE21">
        <v>1</v>
      </c>
      <c r="AF21">
        <v>1</v>
      </c>
      <c r="AG21">
        <v>1</v>
      </c>
      <c r="AH21">
        <v>1</v>
      </c>
      <c r="AI21">
        <v>1</v>
      </c>
      <c r="AJ21">
        <v>0</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0</v>
      </c>
      <c r="BG21">
        <v>1</v>
      </c>
      <c r="BH21">
        <v>1</v>
      </c>
      <c r="BI21">
        <v>1</v>
      </c>
      <c r="BJ21">
        <v>1</v>
      </c>
      <c r="BK21">
        <v>1</v>
      </c>
      <c r="BL21">
        <v>1</v>
      </c>
      <c r="BM21">
        <v>1</v>
      </c>
      <c r="BN21">
        <v>1</v>
      </c>
      <c r="BO21">
        <v>1</v>
      </c>
      <c r="BP21">
        <v>0</v>
      </c>
      <c r="BQ21">
        <v>1</v>
      </c>
      <c r="BR21">
        <v>1</v>
      </c>
      <c r="BS21">
        <v>1</v>
      </c>
      <c r="BT21">
        <v>1</v>
      </c>
      <c r="BU21">
        <v>1</v>
      </c>
    </row>
    <row r="22" spans="1:73" x14ac:dyDescent="0.25">
      <c r="A22" t="s">
        <v>94</v>
      </c>
      <c r="B22">
        <v>1</v>
      </c>
      <c r="C22">
        <v>1</v>
      </c>
      <c r="D22">
        <v>1</v>
      </c>
      <c r="E22">
        <v>1</v>
      </c>
      <c r="F22">
        <v>1</v>
      </c>
      <c r="G22">
        <v>1</v>
      </c>
      <c r="H22">
        <v>1</v>
      </c>
      <c r="I22">
        <v>1</v>
      </c>
      <c r="J22">
        <v>1</v>
      </c>
      <c r="K22">
        <v>1</v>
      </c>
      <c r="L22">
        <v>0</v>
      </c>
      <c r="M22">
        <v>1</v>
      </c>
      <c r="N22">
        <v>1</v>
      </c>
      <c r="O22">
        <v>1</v>
      </c>
      <c r="P22">
        <v>2</v>
      </c>
      <c r="Q22">
        <v>1</v>
      </c>
      <c r="R22">
        <v>1</v>
      </c>
      <c r="S22">
        <v>0</v>
      </c>
      <c r="T22">
        <v>1</v>
      </c>
      <c r="U22">
        <v>1</v>
      </c>
      <c r="V22">
        <v>1</v>
      </c>
      <c r="W22">
        <v>1</v>
      </c>
      <c r="X22">
        <v>1</v>
      </c>
      <c r="Y22">
        <v>0</v>
      </c>
      <c r="Z22">
        <v>1</v>
      </c>
      <c r="AA22">
        <v>4</v>
      </c>
      <c r="AB22">
        <v>1</v>
      </c>
      <c r="AC22">
        <v>1</v>
      </c>
      <c r="AD22">
        <v>1</v>
      </c>
      <c r="AE22">
        <v>1</v>
      </c>
      <c r="AF22">
        <v>1</v>
      </c>
      <c r="AG22">
        <v>1</v>
      </c>
      <c r="AH22">
        <v>1</v>
      </c>
      <c r="AI22">
        <v>1</v>
      </c>
      <c r="AJ22">
        <v>0</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0</v>
      </c>
      <c r="BG22">
        <v>1</v>
      </c>
      <c r="BH22">
        <v>0</v>
      </c>
      <c r="BI22">
        <v>1</v>
      </c>
      <c r="BJ22">
        <v>1</v>
      </c>
      <c r="BK22">
        <v>1</v>
      </c>
      <c r="BL22">
        <v>1</v>
      </c>
      <c r="BM22">
        <v>1</v>
      </c>
      <c r="BN22">
        <v>1</v>
      </c>
      <c r="BO22">
        <v>1</v>
      </c>
      <c r="BP22">
        <v>0</v>
      </c>
      <c r="BQ22">
        <v>1</v>
      </c>
      <c r="BR22">
        <v>1</v>
      </c>
      <c r="BS22">
        <v>1</v>
      </c>
      <c r="BT22">
        <v>1</v>
      </c>
      <c r="BU22">
        <v>1</v>
      </c>
    </row>
    <row r="23" spans="1:73" x14ac:dyDescent="0.25">
      <c r="A23" t="s">
        <v>95</v>
      </c>
      <c r="B23">
        <v>1</v>
      </c>
      <c r="C23">
        <v>1</v>
      </c>
      <c r="D23">
        <v>0</v>
      </c>
      <c r="E23">
        <v>1</v>
      </c>
      <c r="F23">
        <v>1</v>
      </c>
      <c r="G23">
        <v>0</v>
      </c>
      <c r="H23">
        <v>2</v>
      </c>
      <c r="I23">
        <v>1</v>
      </c>
      <c r="J23">
        <v>1</v>
      </c>
      <c r="K23">
        <v>1</v>
      </c>
      <c r="L23">
        <v>1</v>
      </c>
      <c r="M23">
        <v>1</v>
      </c>
      <c r="N23">
        <v>1</v>
      </c>
      <c r="O23">
        <v>1</v>
      </c>
      <c r="P23">
        <v>2</v>
      </c>
      <c r="Q23">
        <v>1</v>
      </c>
      <c r="R23">
        <v>1</v>
      </c>
      <c r="S23">
        <v>1</v>
      </c>
      <c r="T23">
        <v>1</v>
      </c>
      <c r="U23">
        <v>1</v>
      </c>
      <c r="V23">
        <v>1</v>
      </c>
      <c r="W23">
        <v>1</v>
      </c>
      <c r="X23">
        <v>1</v>
      </c>
      <c r="Y23">
        <v>1</v>
      </c>
      <c r="Z23">
        <v>1</v>
      </c>
      <c r="AA23">
        <v>1</v>
      </c>
      <c r="AB23">
        <v>1</v>
      </c>
      <c r="AC23">
        <v>1</v>
      </c>
      <c r="AD23">
        <v>1</v>
      </c>
      <c r="AE23">
        <v>1</v>
      </c>
      <c r="AF23">
        <v>1</v>
      </c>
      <c r="AG23">
        <v>1</v>
      </c>
      <c r="AH23">
        <v>1</v>
      </c>
      <c r="AI23">
        <v>1</v>
      </c>
      <c r="AJ23">
        <v>0</v>
      </c>
      <c r="AK23">
        <v>1</v>
      </c>
      <c r="AL23">
        <v>1</v>
      </c>
      <c r="AM23">
        <v>1</v>
      </c>
      <c r="AN23">
        <v>1</v>
      </c>
      <c r="AO23">
        <v>1</v>
      </c>
      <c r="AP23">
        <v>1</v>
      </c>
      <c r="AQ23">
        <v>1</v>
      </c>
      <c r="AR23">
        <v>1</v>
      </c>
      <c r="AS23">
        <v>0</v>
      </c>
      <c r="AT23">
        <v>1</v>
      </c>
      <c r="AU23">
        <v>1</v>
      </c>
      <c r="AV23">
        <v>1</v>
      </c>
      <c r="AW23">
        <v>0</v>
      </c>
      <c r="AX23">
        <v>1</v>
      </c>
      <c r="AY23">
        <v>1</v>
      </c>
      <c r="AZ23">
        <v>1</v>
      </c>
      <c r="BA23">
        <v>1</v>
      </c>
      <c r="BB23">
        <v>1</v>
      </c>
      <c r="BC23">
        <v>1</v>
      </c>
      <c r="BD23">
        <v>1</v>
      </c>
      <c r="BE23">
        <v>1</v>
      </c>
      <c r="BF23">
        <v>1</v>
      </c>
      <c r="BG23">
        <v>1</v>
      </c>
      <c r="BH23">
        <v>0</v>
      </c>
      <c r="BI23">
        <v>2</v>
      </c>
      <c r="BJ23">
        <v>1</v>
      </c>
      <c r="BK23">
        <v>1</v>
      </c>
      <c r="BL23">
        <v>1</v>
      </c>
      <c r="BM23">
        <v>0</v>
      </c>
      <c r="BN23">
        <v>1</v>
      </c>
      <c r="BO23">
        <v>1</v>
      </c>
      <c r="BP23">
        <v>1</v>
      </c>
      <c r="BQ23">
        <v>1</v>
      </c>
      <c r="BR23">
        <v>1</v>
      </c>
      <c r="BS23">
        <v>1</v>
      </c>
      <c r="BT23">
        <v>1</v>
      </c>
      <c r="BU23">
        <v>1</v>
      </c>
    </row>
    <row r="24" spans="1:73" x14ac:dyDescent="0.25">
      <c r="A24" t="s">
        <v>96</v>
      </c>
      <c r="B24">
        <v>1</v>
      </c>
      <c r="C24">
        <v>1</v>
      </c>
      <c r="D24">
        <v>0</v>
      </c>
      <c r="E24">
        <v>1</v>
      </c>
      <c r="F24">
        <v>1</v>
      </c>
      <c r="G24">
        <v>0</v>
      </c>
      <c r="H24">
        <v>2</v>
      </c>
      <c r="I24">
        <v>1</v>
      </c>
      <c r="J24">
        <v>1</v>
      </c>
      <c r="K24">
        <v>1</v>
      </c>
      <c r="L24">
        <v>1</v>
      </c>
      <c r="M24">
        <v>0</v>
      </c>
      <c r="N24">
        <v>1</v>
      </c>
      <c r="O24">
        <v>1</v>
      </c>
      <c r="P24">
        <v>2</v>
      </c>
      <c r="Q24">
        <v>1</v>
      </c>
      <c r="R24">
        <v>1</v>
      </c>
      <c r="S24">
        <v>1</v>
      </c>
      <c r="T24">
        <v>1</v>
      </c>
      <c r="U24">
        <v>1</v>
      </c>
      <c r="V24">
        <v>1</v>
      </c>
      <c r="W24">
        <v>1</v>
      </c>
      <c r="X24">
        <v>1</v>
      </c>
      <c r="Y24">
        <v>1</v>
      </c>
      <c r="Z24">
        <v>1</v>
      </c>
      <c r="AA24">
        <v>1</v>
      </c>
      <c r="AB24">
        <v>1</v>
      </c>
      <c r="AC24">
        <v>1</v>
      </c>
      <c r="AD24">
        <v>1</v>
      </c>
      <c r="AE24">
        <v>1</v>
      </c>
      <c r="AF24">
        <v>1</v>
      </c>
      <c r="AG24">
        <v>1</v>
      </c>
      <c r="AH24">
        <v>1</v>
      </c>
      <c r="AI24">
        <v>1</v>
      </c>
      <c r="AJ24">
        <v>0</v>
      </c>
      <c r="AK24">
        <v>1</v>
      </c>
      <c r="AL24">
        <v>1</v>
      </c>
      <c r="AM24">
        <v>1</v>
      </c>
      <c r="AN24">
        <v>1</v>
      </c>
      <c r="AO24">
        <v>1</v>
      </c>
      <c r="AP24">
        <v>1</v>
      </c>
      <c r="AQ24">
        <v>1</v>
      </c>
      <c r="AR24">
        <v>1</v>
      </c>
      <c r="AS24">
        <v>1</v>
      </c>
      <c r="AT24">
        <v>1</v>
      </c>
      <c r="AU24">
        <v>1</v>
      </c>
      <c r="AV24">
        <v>1</v>
      </c>
      <c r="AW24">
        <v>0</v>
      </c>
      <c r="AX24">
        <v>1</v>
      </c>
      <c r="AY24">
        <v>1</v>
      </c>
      <c r="AZ24">
        <v>1</v>
      </c>
      <c r="BA24">
        <v>1</v>
      </c>
      <c r="BB24">
        <v>1</v>
      </c>
      <c r="BC24">
        <v>1</v>
      </c>
      <c r="BD24">
        <v>1</v>
      </c>
      <c r="BE24">
        <v>1</v>
      </c>
      <c r="BF24">
        <v>1</v>
      </c>
      <c r="BG24">
        <v>1</v>
      </c>
      <c r="BH24">
        <v>0</v>
      </c>
      <c r="BI24">
        <v>1</v>
      </c>
      <c r="BJ24">
        <v>1</v>
      </c>
      <c r="BK24">
        <v>1</v>
      </c>
      <c r="BL24">
        <v>1</v>
      </c>
      <c r="BM24">
        <v>0</v>
      </c>
      <c r="BN24">
        <v>1</v>
      </c>
      <c r="BO24">
        <v>1</v>
      </c>
      <c r="BP24">
        <v>1</v>
      </c>
      <c r="BQ24">
        <v>1</v>
      </c>
      <c r="BR24">
        <v>1</v>
      </c>
      <c r="BS24">
        <v>1</v>
      </c>
      <c r="BT24">
        <v>1</v>
      </c>
      <c r="BU24">
        <v>1</v>
      </c>
    </row>
    <row r="25" spans="1:73" x14ac:dyDescent="0.25">
      <c r="A25" t="s">
        <v>97</v>
      </c>
      <c r="B25">
        <v>2</v>
      </c>
      <c r="C25">
        <v>1</v>
      </c>
      <c r="D25">
        <v>1</v>
      </c>
      <c r="E25">
        <v>1</v>
      </c>
      <c r="F25">
        <v>1</v>
      </c>
      <c r="G25">
        <v>1</v>
      </c>
      <c r="H25">
        <v>1</v>
      </c>
      <c r="I25">
        <v>2</v>
      </c>
      <c r="J25">
        <v>1</v>
      </c>
      <c r="K25">
        <v>1</v>
      </c>
      <c r="L25">
        <v>1</v>
      </c>
      <c r="M25">
        <v>1</v>
      </c>
      <c r="N25">
        <v>1</v>
      </c>
      <c r="O25">
        <v>1</v>
      </c>
      <c r="P25">
        <v>1</v>
      </c>
      <c r="Q25">
        <v>1</v>
      </c>
      <c r="R25">
        <v>1</v>
      </c>
      <c r="S25">
        <v>1</v>
      </c>
      <c r="T25">
        <v>2</v>
      </c>
      <c r="U25">
        <v>1</v>
      </c>
      <c r="V25">
        <v>1</v>
      </c>
      <c r="W25">
        <v>1</v>
      </c>
      <c r="X25">
        <v>2</v>
      </c>
      <c r="Y25">
        <v>1</v>
      </c>
      <c r="Z25">
        <v>1</v>
      </c>
      <c r="AA25">
        <v>2</v>
      </c>
      <c r="AB25">
        <v>0</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0</v>
      </c>
      <c r="AZ25">
        <v>1</v>
      </c>
      <c r="BA25">
        <v>1</v>
      </c>
      <c r="BB25">
        <v>1</v>
      </c>
      <c r="BC25">
        <v>2</v>
      </c>
      <c r="BD25">
        <v>1</v>
      </c>
      <c r="BE25">
        <v>1</v>
      </c>
      <c r="BF25">
        <v>1</v>
      </c>
      <c r="BG25">
        <v>1</v>
      </c>
      <c r="BH25">
        <v>1</v>
      </c>
      <c r="BI25">
        <v>2</v>
      </c>
      <c r="BJ25">
        <v>1</v>
      </c>
      <c r="BK25">
        <v>1</v>
      </c>
      <c r="BL25">
        <v>1</v>
      </c>
      <c r="BM25">
        <v>1</v>
      </c>
      <c r="BN25">
        <v>1</v>
      </c>
      <c r="BO25">
        <v>1</v>
      </c>
      <c r="BP25">
        <v>1</v>
      </c>
      <c r="BQ25">
        <v>1</v>
      </c>
      <c r="BR25">
        <v>1</v>
      </c>
      <c r="BS25">
        <v>1</v>
      </c>
      <c r="BT25">
        <v>1</v>
      </c>
      <c r="BU25">
        <v>1</v>
      </c>
    </row>
    <row r="26" spans="1:73" x14ac:dyDescent="0.25">
      <c r="A26" t="s">
        <v>98</v>
      </c>
      <c r="B26">
        <v>1</v>
      </c>
      <c r="C26">
        <v>1</v>
      </c>
      <c r="D26">
        <v>1</v>
      </c>
      <c r="E26">
        <v>1</v>
      </c>
      <c r="F26">
        <v>1</v>
      </c>
      <c r="G26">
        <v>1</v>
      </c>
      <c r="H26">
        <v>2</v>
      </c>
      <c r="I26">
        <v>1</v>
      </c>
      <c r="J26">
        <v>1</v>
      </c>
      <c r="K26">
        <v>1</v>
      </c>
      <c r="L26">
        <v>0</v>
      </c>
      <c r="M26">
        <v>1</v>
      </c>
      <c r="N26">
        <v>1</v>
      </c>
      <c r="O26">
        <v>1</v>
      </c>
      <c r="P26">
        <v>1</v>
      </c>
      <c r="Q26">
        <v>1</v>
      </c>
      <c r="R26">
        <v>1</v>
      </c>
      <c r="S26">
        <v>1</v>
      </c>
      <c r="T26">
        <v>1</v>
      </c>
      <c r="U26">
        <v>1</v>
      </c>
      <c r="V26">
        <v>1</v>
      </c>
      <c r="W26">
        <v>1</v>
      </c>
      <c r="X26">
        <v>1</v>
      </c>
      <c r="Y26">
        <v>1</v>
      </c>
      <c r="Z26">
        <v>1</v>
      </c>
      <c r="AA26">
        <v>3</v>
      </c>
      <c r="AB26">
        <v>0</v>
      </c>
      <c r="AC26">
        <v>1</v>
      </c>
      <c r="AD26">
        <v>1</v>
      </c>
      <c r="AE26">
        <v>1</v>
      </c>
      <c r="AF26">
        <v>1</v>
      </c>
      <c r="AG26">
        <v>1</v>
      </c>
      <c r="AH26">
        <v>1</v>
      </c>
      <c r="AI26">
        <v>1</v>
      </c>
      <c r="AJ26">
        <v>0</v>
      </c>
      <c r="AK26">
        <v>1</v>
      </c>
      <c r="AL26">
        <v>1</v>
      </c>
      <c r="AM26">
        <v>1</v>
      </c>
      <c r="AN26">
        <v>1</v>
      </c>
      <c r="AO26">
        <v>1</v>
      </c>
      <c r="AP26">
        <v>1</v>
      </c>
      <c r="AQ26">
        <v>1</v>
      </c>
      <c r="AR26">
        <v>1</v>
      </c>
      <c r="AS26">
        <v>1</v>
      </c>
      <c r="AT26">
        <v>1</v>
      </c>
      <c r="AU26">
        <v>1</v>
      </c>
      <c r="AV26">
        <v>1</v>
      </c>
      <c r="AW26">
        <v>0</v>
      </c>
      <c r="AX26">
        <v>1</v>
      </c>
      <c r="AY26">
        <v>1</v>
      </c>
      <c r="AZ26">
        <v>1</v>
      </c>
      <c r="BA26">
        <v>1</v>
      </c>
      <c r="BB26">
        <v>1</v>
      </c>
      <c r="BC26">
        <v>2</v>
      </c>
      <c r="BD26">
        <v>1</v>
      </c>
      <c r="BE26">
        <v>1</v>
      </c>
      <c r="BF26">
        <v>1</v>
      </c>
      <c r="BG26">
        <v>1</v>
      </c>
      <c r="BH26">
        <v>1</v>
      </c>
      <c r="BI26">
        <v>1</v>
      </c>
      <c r="BJ26">
        <v>1</v>
      </c>
      <c r="BK26">
        <v>1</v>
      </c>
      <c r="BL26">
        <v>1</v>
      </c>
      <c r="BM26">
        <v>1</v>
      </c>
      <c r="BN26">
        <v>1</v>
      </c>
      <c r="BO26">
        <v>1</v>
      </c>
      <c r="BP26">
        <v>1</v>
      </c>
      <c r="BQ26">
        <v>1</v>
      </c>
      <c r="BR26">
        <v>1</v>
      </c>
      <c r="BS26">
        <v>1</v>
      </c>
      <c r="BT26">
        <v>1</v>
      </c>
      <c r="BU26">
        <v>1</v>
      </c>
    </row>
    <row r="27" spans="1:73" x14ac:dyDescent="0.25">
      <c r="A27" t="s">
        <v>99</v>
      </c>
      <c r="B27">
        <v>1</v>
      </c>
      <c r="C27">
        <v>1</v>
      </c>
      <c r="D27">
        <v>0</v>
      </c>
      <c r="E27">
        <v>1</v>
      </c>
      <c r="F27">
        <v>1</v>
      </c>
      <c r="G27">
        <v>1</v>
      </c>
      <c r="H27">
        <v>2</v>
      </c>
      <c r="I27">
        <v>1</v>
      </c>
      <c r="J27">
        <v>1</v>
      </c>
      <c r="K27">
        <v>1</v>
      </c>
      <c r="L27">
        <v>1</v>
      </c>
      <c r="M27">
        <v>1</v>
      </c>
      <c r="N27">
        <v>1</v>
      </c>
      <c r="O27">
        <v>1</v>
      </c>
      <c r="P27">
        <v>1</v>
      </c>
      <c r="Q27">
        <v>1</v>
      </c>
      <c r="R27">
        <v>1</v>
      </c>
      <c r="S27">
        <v>1</v>
      </c>
      <c r="T27">
        <v>1</v>
      </c>
      <c r="U27">
        <v>1</v>
      </c>
      <c r="V27">
        <v>1</v>
      </c>
      <c r="W27">
        <v>1</v>
      </c>
      <c r="X27">
        <v>1</v>
      </c>
      <c r="Y27">
        <v>1</v>
      </c>
      <c r="Z27">
        <v>1</v>
      </c>
      <c r="AA27">
        <v>3</v>
      </c>
      <c r="AB27">
        <v>1</v>
      </c>
      <c r="AC27">
        <v>1</v>
      </c>
      <c r="AD27">
        <v>1</v>
      </c>
      <c r="AE27">
        <v>1</v>
      </c>
      <c r="AF27">
        <v>1</v>
      </c>
      <c r="AG27">
        <v>1</v>
      </c>
      <c r="AH27">
        <v>1</v>
      </c>
      <c r="AI27">
        <v>1</v>
      </c>
      <c r="AJ27">
        <v>0</v>
      </c>
      <c r="AK27">
        <v>1</v>
      </c>
      <c r="AL27">
        <v>1</v>
      </c>
      <c r="AM27">
        <v>1</v>
      </c>
      <c r="AN27">
        <v>1</v>
      </c>
      <c r="AO27">
        <v>1</v>
      </c>
      <c r="AP27">
        <v>1</v>
      </c>
      <c r="AQ27">
        <v>1</v>
      </c>
      <c r="AR27">
        <v>1</v>
      </c>
      <c r="AS27">
        <v>1</v>
      </c>
      <c r="AT27">
        <v>1</v>
      </c>
      <c r="AU27">
        <v>1</v>
      </c>
      <c r="AV27">
        <v>1</v>
      </c>
      <c r="AW27">
        <v>1</v>
      </c>
      <c r="AX27">
        <v>1</v>
      </c>
      <c r="AY27">
        <v>1</v>
      </c>
      <c r="AZ27">
        <v>1</v>
      </c>
      <c r="BA27">
        <v>1</v>
      </c>
      <c r="BB27">
        <v>1</v>
      </c>
      <c r="BC27">
        <v>2</v>
      </c>
      <c r="BD27">
        <v>1</v>
      </c>
      <c r="BE27">
        <v>1</v>
      </c>
      <c r="BF27">
        <v>1</v>
      </c>
      <c r="BG27">
        <v>1</v>
      </c>
      <c r="BH27">
        <v>1</v>
      </c>
      <c r="BI27">
        <v>1</v>
      </c>
      <c r="BJ27">
        <v>1</v>
      </c>
      <c r="BK27">
        <v>1</v>
      </c>
      <c r="BL27">
        <v>1</v>
      </c>
      <c r="BM27">
        <v>1</v>
      </c>
      <c r="BN27">
        <v>1</v>
      </c>
      <c r="BO27">
        <v>1</v>
      </c>
      <c r="BP27">
        <v>1</v>
      </c>
      <c r="BQ27">
        <v>1</v>
      </c>
      <c r="BR27">
        <v>1</v>
      </c>
      <c r="BS27">
        <v>1</v>
      </c>
      <c r="BT27">
        <v>1</v>
      </c>
      <c r="BU27">
        <v>1</v>
      </c>
    </row>
    <row r="28" spans="1:73" x14ac:dyDescent="0.25">
      <c r="A28" t="s">
        <v>100</v>
      </c>
      <c r="B28">
        <v>1</v>
      </c>
      <c r="C28">
        <v>1</v>
      </c>
      <c r="D28">
        <v>0</v>
      </c>
      <c r="E28">
        <v>1</v>
      </c>
      <c r="F28">
        <v>1</v>
      </c>
      <c r="G28">
        <v>1</v>
      </c>
      <c r="H28">
        <v>2</v>
      </c>
      <c r="I28">
        <v>1</v>
      </c>
      <c r="J28">
        <v>1</v>
      </c>
      <c r="K28">
        <v>1</v>
      </c>
      <c r="L28">
        <v>1</v>
      </c>
      <c r="M28">
        <v>1</v>
      </c>
      <c r="N28">
        <v>1</v>
      </c>
      <c r="O28">
        <v>1</v>
      </c>
      <c r="P28">
        <v>1</v>
      </c>
      <c r="Q28">
        <v>1</v>
      </c>
      <c r="R28">
        <v>1</v>
      </c>
      <c r="S28">
        <v>1</v>
      </c>
      <c r="T28">
        <v>1</v>
      </c>
      <c r="U28">
        <v>1</v>
      </c>
      <c r="V28">
        <v>1</v>
      </c>
      <c r="W28">
        <v>1</v>
      </c>
      <c r="X28">
        <v>1</v>
      </c>
      <c r="Y28">
        <v>1</v>
      </c>
      <c r="Z28">
        <v>1</v>
      </c>
      <c r="AA28">
        <v>2</v>
      </c>
      <c r="AB28">
        <v>1</v>
      </c>
      <c r="AC28">
        <v>1</v>
      </c>
      <c r="AD28">
        <v>1</v>
      </c>
      <c r="AE28">
        <v>1</v>
      </c>
      <c r="AF28">
        <v>1</v>
      </c>
      <c r="AG28">
        <v>1</v>
      </c>
      <c r="AH28">
        <v>1</v>
      </c>
      <c r="AI28">
        <v>1</v>
      </c>
      <c r="AJ28">
        <v>0</v>
      </c>
      <c r="AK28">
        <v>1</v>
      </c>
      <c r="AL28">
        <v>1</v>
      </c>
      <c r="AM28">
        <v>1</v>
      </c>
      <c r="AN28">
        <v>1</v>
      </c>
      <c r="AO28">
        <v>1</v>
      </c>
      <c r="AP28">
        <v>1</v>
      </c>
      <c r="AQ28">
        <v>2</v>
      </c>
      <c r="AR28">
        <v>1</v>
      </c>
      <c r="AS28">
        <v>1</v>
      </c>
      <c r="AT28">
        <v>1</v>
      </c>
      <c r="AU28">
        <v>1</v>
      </c>
      <c r="AV28">
        <v>1</v>
      </c>
      <c r="AW28">
        <v>1</v>
      </c>
      <c r="AX28">
        <v>1</v>
      </c>
      <c r="AY28">
        <v>1</v>
      </c>
      <c r="AZ28">
        <v>1</v>
      </c>
      <c r="BA28">
        <v>1</v>
      </c>
      <c r="BB28">
        <v>1</v>
      </c>
      <c r="BC28">
        <v>2</v>
      </c>
      <c r="BD28">
        <v>1</v>
      </c>
      <c r="BE28">
        <v>1</v>
      </c>
      <c r="BF28">
        <v>1</v>
      </c>
      <c r="BG28">
        <v>1</v>
      </c>
      <c r="BH28">
        <v>1</v>
      </c>
      <c r="BI28">
        <v>1</v>
      </c>
      <c r="BJ28">
        <v>1</v>
      </c>
      <c r="BK28">
        <v>1</v>
      </c>
      <c r="BL28">
        <v>1</v>
      </c>
      <c r="BM28">
        <v>1</v>
      </c>
      <c r="BN28">
        <v>1</v>
      </c>
      <c r="BO28">
        <v>1</v>
      </c>
      <c r="BP28">
        <v>1</v>
      </c>
      <c r="BQ28">
        <v>1</v>
      </c>
      <c r="BR28">
        <v>1</v>
      </c>
      <c r="BS28">
        <v>1</v>
      </c>
      <c r="BT28">
        <v>1</v>
      </c>
      <c r="BU28">
        <v>1</v>
      </c>
    </row>
    <row r="29" spans="1:73" x14ac:dyDescent="0.25">
      <c r="A29" t="s">
        <v>101</v>
      </c>
      <c r="B29">
        <v>1</v>
      </c>
      <c r="C29">
        <v>1</v>
      </c>
      <c r="D29">
        <v>1</v>
      </c>
      <c r="E29">
        <v>1</v>
      </c>
      <c r="F29">
        <v>1</v>
      </c>
      <c r="G29">
        <v>1</v>
      </c>
      <c r="H29">
        <v>2</v>
      </c>
      <c r="I29">
        <v>1</v>
      </c>
      <c r="J29">
        <v>1</v>
      </c>
      <c r="K29">
        <v>1</v>
      </c>
      <c r="L29">
        <v>1</v>
      </c>
      <c r="M29">
        <v>1</v>
      </c>
      <c r="N29">
        <v>1</v>
      </c>
      <c r="O29">
        <v>1</v>
      </c>
      <c r="P29">
        <v>2</v>
      </c>
      <c r="Q29">
        <v>1</v>
      </c>
      <c r="R29">
        <v>1</v>
      </c>
      <c r="S29">
        <v>1</v>
      </c>
      <c r="T29">
        <v>1</v>
      </c>
      <c r="U29">
        <v>1</v>
      </c>
      <c r="V29">
        <v>1</v>
      </c>
      <c r="W29">
        <v>1</v>
      </c>
      <c r="X29">
        <v>1</v>
      </c>
      <c r="Y29">
        <v>1</v>
      </c>
      <c r="Z29">
        <v>1</v>
      </c>
      <c r="AA29">
        <v>2</v>
      </c>
      <c r="AB29">
        <v>0</v>
      </c>
      <c r="AC29">
        <v>1</v>
      </c>
      <c r="AD29">
        <v>1</v>
      </c>
      <c r="AE29">
        <v>1</v>
      </c>
      <c r="AF29">
        <v>1</v>
      </c>
      <c r="AG29">
        <v>1</v>
      </c>
      <c r="AH29">
        <v>1</v>
      </c>
      <c r="AI29">
        <v>1</v>
      </c>
      <c r="AJ29">
        <v>0</v>
      </c>
      <c r="AK29">
        <v>1</v>
      </c>
      <c r="AL29">
        <v>1</v>
      </c>
      <c r="AM29">
        <v>1</v>
      </c>
      <c r="AN29">
        <v>1</v>
      </c>
      <c r="AO29">
        <v>1</v>
      </c>
      <c r="AP29">
        <v>1</v>
      </c>
      <c r="AQ29">
        <v>2</v>
      </c>
      <c r="AR29">
        <v>1</v>
      </c>
      <c r="AS29">
        <v>1</v>
      </c>
      <c r="AT29">
        <v>1</v>
      </c>
      <c r="AU29">
        <v>1</v>
      </c>
      <c r="AV29">
        <v>1</v>
      </c>
      <c r="AW29">
        <v>1</v>
      </c>
      <c r="AX29">
        <v>1</v>
      </c>
      <c r="AY29">
        <v>1</v>
      </c>
      <c r="AZ29">
        <v>1</v>
      </c>
      <c r="BA29">
        <v>1</v>
      </c>
      <c r="BB29">
        <v>1</v>
      </c>
      <c r="BC29">
        <v>1</v>
      </c>
      <c r="BD29">
        <v>1</v>
      </c>
      <c r="BE29">
        <v>1</v>
      </c>
      <c r="BF29">
        <v>1</v>
      </c>
      <c r="BG29">
        <v>1</v>
      </c>
      <c r="BH29">
        <v>1</v>
      </c>
      <c r="BI29">
        <v>2</v>
      </c>
      <c r="BJ29">
        <v>1</v>
      </c>
      <c r="BK29">
        <v>1</v>
      </c>
      <c r="BL29">
        <v>1</v>
      </c>
      <c r="BM29">
        <v>1</v>
      </c>
      <c r="BN29">
        <v>1</v>
      </c>
      <c r="BO29">
        <v>1</v>
      </c>
      <c r="BP29">
        <v>1</v>
      </c>
      <c r="BQ29">
        <v>1</v>
      </c>
      <c r="BR29">
        <v>1</v>
      </c>
      <c r="BS29">
        <v>1</v>
      </c>
      <c r="BT29">
        <v>1</v>
      </c>
      <c r="BU29">
        <v>0</v>
      </c>
    </row>
    <row r="31" spans="1:73" x14ac:dyDescent="0.25">
      <c r="A31" t="s">
        <v>120</v>
      </c>
      <c r="B31" t="s">
        <v>54</v>
      </c>
      <c r="C31" t="s">
        <v>22</v>
      </c>
      <c r="D31" t="s">
        <v>51</v>
      </c>
      <c r="E31" t="s">
        <v>14</v>
      </c>
      <c r="F31" t="s">
        <v>61</v>
      </c>
      <c r="G31" t="s">
        <v>1</v>
      </c>
      <c r="H31" t="s">
        <v>68</v>
      </c>
      <c r="I31" t="s">
        <v>46</v>
      </c>
      <c r="J31" t="s">
        <v>28</v>
      </c>
      <c r="K31" t="s">
        <v>19</v>
      </c>
      <c r="L31" t="s">
        <v>18</v>
      </c>
      <c r="M31" t="s">
        <v>38</v>
      </c>
      <c r="N31" t="s">
        <v>64</v>
      </c>
      <c r="O31" t="s">
        <v>35</v>
      </c>
      <c r="P31" t="s">
        <v>10</v>
      </c>
      <c r="Q31" t="s">
        <v>60</v>
      </c>
      <c r="R31" t="s">
        <v>43</v>
      </c>
      <c r="S31" t="s">
        <v>26</v>
      </c>
      <c r="T31" t="s">
        <v>45</v>
      </c>
      <c r="U31" t="s">
        <v>67</v>
      </c>
      <c r="V31" t="s">
        <v>34</v>
      </c>
      <c r="W31" t="s">
        <v>39</v>
      </c>
      <c r="X31" t="s">
        <v>8</v>
      </c>
      <c r="Y31" t="s">
        <v>52</v>
      </c>
      <c r="Z31" t="s">
        <v>32</v>
      </c>
      <c r="AA31" t="s">
        <v>3</v>
      </c>
      <c r="AB31" t="s">
        <v>70</v>
      </c>
      <c r="AC31" t="s">
        <v>2</v>
      </c>
      <c r="AD31" t="s">
        <v>63</v>
      </c>
      <c r="AE31" t="s">
        <v>6</v>
      </c>
      <c r="AF31" t="s">
        <v>58</v>
      </c>
      <c r="AG31" t="s">
        <v>20</v>
      </c>
      <c r="AH31" t="s">
        <v>12</v>
      </c>
      <c r="AI31" t="s">
        <v>13</v>
      </c>
      <c r="AJ31" t="s">
        <v>62</v>
      </c>
      <c r="AK31" t="s">
        <v>27</v>
      </c>
      <c r="AL31" t="s">
        <v>42</v>
      </c>
      <c r="AM31" t="s">
        <v>36</v>
      </c>
      <c r="AN31" t="s">
        <v>21</v>
      </c>
      <c r="AO31" t="s">
        <v>11</v>
      </c>
      <c r="AP31" t="s">
        <v>71</v>
      </c>
      <c r="AQ31" t="s">
        <v>31</v>
      </c>
      <c r="AR31" t="s">
        <v>65</v>
      </c>
      <c r="AS31" t="s">
        <v>41</v>
      </c>
      <c r="AT31" t="s">
        <v>56</v>
      </c>
      <c r="AU31" t="s">
        <v>66</v>
      </c>
      <c r="AV31" t="s">
        <v>44</v>
      </c>
      <c r="AW31" t="s">
        <v>9</v>
      </c>
      <c r="AX31" t="s">
        <v>33</v>
      </c>
      <c r="AY31" t="s">
        <v>50</v>
      </c>
      <c r="AZ31" t="s">
        <v>24</v>
      </c>
      <c r="BA31" t="s">
        <v>57</v>
      </c>
      <c r="BB31" t="s">
        <v>40</v>
      </c>
      <c r="BC31" t="s">
        <v>59</v>
      </c>
      <c r="BD31" t="s">
        <v>48</v>
      </c>
      <c r="BE31" t="s">
        <v>5</v>
      </c>
      <c r="BF31" t="s">
        <v>15</v>
      </c>
      <c r="BG31" t="s">
        <v>49</v>
      </c>
      <c r="BH31" t="s">
        <v>7</v>
      </c>
      <c r="BI31" t="s">
        <v>53</v>
      </c>
      <c r="BJ31" t="s">
        <v>69</v>
      </c>
      <c r="BK31" t="s">
        <v>17</v>
      </c>
      <c r="BL31" t="s">
        <v>29</v>
      </c>
      <c r="BM31" t="s">
        <v>30</v>
      </c>
      <c r="BN31" t="s">
        <v>23</v>
      </c>
      <c r="BO31" t="s">
        <v>47</v>
      </c>
      <c r="BP31" t="s">
        <v>37</v>
      </c>
      <c r="BQ31" t="s">
        <v>72</v>
      </c>
      <c r="BR31" t="s">
        <v>16</v>
      </c>
      <c r="BS31" t="s">
        <v>25</v>
      </c>
      <c r="BT31" t="s">
        <v>4</v>
      </c>
      <c r="BU31" t="s">
        <v>55</v>
      </c>
    </row>
    <row r="32" spans="1:73" x14ac:dyDescent="0.25">
      <c r="A32" t="s">
        <v>139</v>
      </c>
      <c r="B32">
        <f>COUNTIF(B2:B29, "&gt; 1")</f>
        <v>1</v>
      </c>
      <c r="C32">
        <f t="shared" ref="C32:BN32" si="0">COUNTIF(C2:C29, "&gt; 1")</f>
        <v>0</v>
      </c>
      <c r="D32">
        <f t="shared" si="0"/>
        <v>0</v>
      </c>
      <c r="E32">
        <f t="shared" si="0"/>
        <v>0</v>
      </c>
      <c r="F32">
        <f t="shared" si="0"/>
        <v>0</v>
      </c>
      <c r="G32">
        <f t="shared" si="0"/>
        <v>0</v>
      </c>
      <c r="H32">
        <f t="shared" si="0"/>
        <v>9</v>
      </c>
      <c r="I32">
        <f t="shared" si="0"/>
        <v>1</v>
      </c>
      <c r="J32">
        <f t="shared" si="0"/>
        <v>0</v>
      </c>
      <c r="K32">
        <f t="shared" si="0"/>
        <v>0</v>
      </c>
      <c r="L32">
        <f t="shared" si="0"/>
        <v>0</v>
      </c>
      <c r="M32">
        <f t="shared" si="0"/>
        <v>1</v>
      </c>
      <c r="N32">
        <f t="shared" si="0"/>
        <v>0</v>
      </c>
      <c r="O32">
        <f t="shared" si="0"/>
        <v>0</v>
      </c>
      <c r="P32">
        <f t="shared" si="0"/>
        <v>5</v>
      </c>
      <c r="Q32">
        <f t="shared" si="0"/>
        <v>0</v>
      </c>
      <c r="R32">
        <f t="shared" si="0"/>
        <v>0</v>
      </c>
      <c r="S32">
        <f t="shared" si="0"/>
        <v>0</v>
      </c>
      <c r="T32">
        <f t="shared" si="0"/>
        <v>1</v>
      </c>
      <c r="U32">
        <f t="shared" si="0"/>
        <v>0</v>
      </c>
      <c r="V32">
        <f t="shared" si="0"/>
        <v>0</v>
      </c>
      <c r="W32">
        <f t="shared" si="0"/>
        <v>0</v>
      </c>
      <c r="X32">
        <f t="shared" si="0"/>
        <v>1</v>
      </c>
      <c r="Y32">
        <f t="shared" si="0"/>
        <v>0</v>
      </c>
      <c r="Z32">
        <f t="shared" si="0"/>
        <v>0</v>
      </c>
      <c r="AA32">
        <f t="shared" si="0"/>
        <v>10</v>
      </c>
      <c r="AB32">
        <f t="shared" si="0"/>
        <v>0</v>
      </c>
      <c r="AC32">
        <f t="shared" si="0"/>
        <v>0</v>
      </c>
      <c r="AD32">
        <f t="shared" si="0"/>
        <v>0</v>
      </c>
      <c r="AE32">
        <f t="shared" si="0"/>
        <v>0</v>
      </c>
      <c r="AF32">
        <f t="shared" si="0"/>
        <v>0</v>
      </c>
      <c r="AG32">
        <f t="shared" si="0"/>
        <v>0</v>
      </c>
      <c r="AH32">
        <f t="shared" si="0"/>
        <v>0</v>
      </c>
      <c r="AI32">
        <f t="shared" si="0"/>
        <v>0</v>
      </c>
      <c r="AJ32">
        <f t="shared" si="0"/>
        <v>0</v>
      </c>
      <c r="AK32">
        <f t="shared" si="0"/>
        <v>0</v>
      </c>
      <c r="AL32">
        <f t="shared" si="0"/>
        <v>0</v>
      </c>
      <c r="AM32">
        <f t="shared" si="0"/>
        <v>0</v>
      </c>
      <c r="AN32">
        <f t="shared" si="0"/>
        <v>0</v>
      </c>
      <c r="AO32">
        <f t="shared" si="0"/>
        <v>0</v>
      </c>
      <c r="AP32">
        <f t="shared" si="0"/>
        <v>0</v>
      </c>
      <c r="AQ32">
        <f t="shared" si="0"/>
        <v>2</v>
      </c>
      <c r="AR32">
        <f t="shared" si="0"/>
        <v>0</v>
      </c>
      <c r="AS32">
        <f t="shared" si="0"/>
        <v>1</v>
      </c>
      <c r="AT32">
        <f t="shared" si="0"/>
        <v>0</v>
      </c>
      <c r="AU32">
        <f t="shared" si="0"/>
        <v>0</v>
      </c>
      <c r="AV32">
        <f t="shared" si="0"/>
        <v>0</v>
      </c>
      <c r="AW32">
        <f t="shared" si="0"/>
        <v>0</v>
      </c>
      <c r="AX32">
        <f t="shared" si="0"/>
        <v>0</v>
      </c>
      <c r="AY32">
        <f t="shared" si="0"/>
        <v>0</v>
      </c>
      <c r="AZ32">
        <f t="shared" si="0"/>
        <v>0</v>
      </c>
      <c r="BA32">
        <f t="shared" si="0"/>
        <v>0</v>
      </c>
      <c r="BB32">
        <f t="shared" si="0"/>
        <v>0</v>
      </c>
      <c r="BC32">
        <f t="shared" si="0"/>
        <v>5</v>
      </c>
      <c r="BD32">
        <f t="shared" si="0"/>
        <v>0</v>
      </c>
      <c r="BE32">
        <f t="shared" si="0"/>
        <v>0</v>
      </c>
      <c r="BF32">
        <f t="shared" si="0"/>
        <v>0</v>
      </c>
      <c r="BG32">
        <f t="shared" si="0"/>
        <v>0</v>
      </c>
      <c r="BH32">
        <f t="shared" si="0"/>
        <v>0</v>
      </c>
      <c r="BI32">
        <f t="shared" si="0"/>
        <v>3</v>
      </c>
      <c r="BJ32">
        <f t="shared" si="0"/>
        <v>0</v>
      </c>
      <c r="BK32">
        <f t="shared" si="0"/>
        <v>0</v>
      </c>
      <c r="BL32">
        <f t="shared" si="0"/>
        <v>0</v>
      </c>
      <c r="BM32">
        <f t="shared" si="0"/>
        <v>0</v>
      </c>
      <c r="BN32">
        <f t="shared" si="0"/>
        <v>0</v>
      </c>
      <c r="BO32">
        <f t="shared" ref="BO32:BU32" si="1">COUNTIF(BO2:BO29, "&gt; 1")</f>
        <v>0</v>
      </c>
      <c r="BP32">
        <f t="shared" si="1"/>
        <v>0</v>
      </c>
      <c r="BQ32">
        <f t="shared" si="1"/>
        <v>0</v>
      </c>
      <c r="BR32">
        <f t="shared" si="1"/>
        <v>0</v>
      </c>
      <c r="BS32">
        <f t="shared" si="1"/>
        <v>0</v>
      </c>
      <c r="BT32">
        <f t="shared" si="1"/>
        <v>0</v>
      </c>
      <c r="BU32">
        <f t="shared" si="1"/>
        <v>0</v>
      </c>
    </row>
    <row r="33" spans="1:73" x14ac:dyDescent="0.25">
      <c r="A33" t="s">
        <v>140</v>
      </c>
      <c r="B33">
        <f>COUNTIF(B$10, "&gt; 1")</f>
        <v>0</v>
      </c>
      <c r="C33">
        <f t="shared" ref="C33:BN33" si="2">COUNTIF(C$10, "&gt; 1")</f>
        <v>0</v>
      </c>
      <c r="D33">
        <f t="shared" si="2"/>
        <v>0</v>
      </c>
      <c r="E33">
        <f t="shared" si="2"/>
        <v>0</v>
      </c>
      <c r="F33">
        <f t="shared" si="2"/>
        <v>0</v>
      </c>
      <c r="G33">
        <f t="shared" si="2"/>
        <v>0</v>
      </c>
      <c r="H33">
        <f t="shared" si="2"/>
        <v>0</v>
      </c>
      <c r="I33">
        <f t="shared" si="2"/>
        <v>0</v>
      </c>
      <c r="J33">
        <f t="shared" si="2"/>
        <v>0</v>
      </c>
      <c r="K33">
        <f t="shared" si="2"/>
        <v>0</v>
      </c>
      <c r="L33">
        <f t="shared" si="2"/>
        <v>0</v>
      </c>
      <c r="M33">
        <f t="shared" si="2"/>
        <v>0</v>
      </c>
      <c r="N33">
        <f t="shared" si="2"/>
        <v>0</v>
      </c>
      <c r="O33">
        <f t="shared" si="2"/>
        <v>0</v>
      </c>
      <c r="P33">
        <f t="shared" si="2"/>
        <v>0</v>
      </c>
      <c r="Q33">
        <f t="shared" si="2"/>
        <v>0</v>
      </c>
      <c r="R33">
        <f t="shared" si="2"/>
        <v>0</v>
      </c>
      <c r="S33">
        <f t="shared" si="2"/>
        <v>0</v>
      </c>
      <c r="T33">
        <f t="shared" si="2"/>
        <v>0</v>
      </c>
      <c r="U33">
        <f t="shared" si="2"/>
        <v>0</v>
      </c>
      <c r="V33">
        <f t="shared" si="2"/>
        <v>0</v>
      </c>
      <c r="W33">
        <f t="shared" si="2"/>
        <v>0</v>
      </c>
      <c r="X33">
        <f t="shared" si="2"/>
        <v>0</v>
      </c>
      <c r="Y33">
        <f t="shared" si="2"/>
        <v>0</v>
      </c>
      <c r="Z33">
        <f t="shared" si="2"/>
        <v>0</v>
      </c>
      <c r="AA33">
        <f t="shared" si="2"/>
        <v>0</v>
      </c>
      <c r="AB33">
        <f t="shared" si="2"/>
        <v>0</v>
      </c>
      <c r="AC33">
        <f t="shared" si="2"/>
        <v>0</v>
      </c>
      <c r="AD33">
        <f t="shared" si="2"/>
        <v>0</v>
      </c>
      <c r="AE33">
        <f t="shared" si="2"/>
        <v>0</v>
      </c>
      <c r="AF33">
        <f t="shared" si="2"/>
        <v>0</v>
      </c>
      <c r="AG33">
        <f t="shared" si="2"/>
        <v>0</v>
      </c>
      <c r="AH33">
        <f t="shared" si="2"/>
        <v>0</v>
      </c>
      <c r="AI33">
        <f t="shared" si="2"/>
        <v>0</v>
      </c>
      <c r="AJ33">
        <f t="shared" si="2"/>
        <v>0</v>
      </c>
      <c r="AK33">
        <f t="shared" si="2"/>
        <v>0</v>
      </c>
      <c r="AL33">
        <f t="shared" si="2"/>
        <v>0</v>
      </c>
      <c r="AM33">
        <f t="shared" si="2"/>
        <v>0</v>
      </c>
      <c r="AN33">
        <f t="shared" si="2"/>
        <v>0</v>
      </c>
      <c r="AO33">
        <f t="shared" si="2"/>
        <v>0</v>
      </c>
      <c r="AP33">
        <f t="shared" si="2"/>
        <v>0</v>
      </c>
      <c r="AQ33">
        <f t="shared" si="2"/>
        <v>0</v>
      </c>
      <c r="AR33">
        <f t="shared" si="2"/>
        <v>0</v>
      </c>
      <c r="AS33">
        <f t="shared" si="2"/>
        <v>0</v>
      </c>
      <c r="AT33">
        <f t="shared" si="2"/>
        <v>0</v>
      </c>
      <c r="AU33">
        <f t="shared" si="2"/>
        <v>0</v>
      </c>
      <c r="AV33">
        <f t="shared" si="2"/>
        <v>0</v>
      </c>
      <c r="AW33">
        <f t="shared" si="2"/>
        <v>0</v>
      </c>
      <c r="AX33">
        <f t="shared" si="2"/>
        <v>0</v>
      </c>
      <c r="AY33">
        <f t="shared" si="2"/>
        <v>0</v>
      </c>
      <c r="AZ33">
        <f t="shared" si="2"/>
        <v>0</v>
      </c>
      <c r="BA33">
        <f t="shared" si="2"/>
        <v>0</v>
      </c>
      <c r="BB33">
        <f t="shared" si="2"/>
        <v>0</v>
      </c>
      <c r="BC33">
        <f t="shared" si="2"/>
        <v>0</v>
      </c>
      <c r="BD33">
        <f t="shared" si="2"/>
        <v>0</v>
      </c>
      <c r="BE33">
        <f t="shared" si="2"/>
        <v>0</v>
      </c>
      <c r="BF33">
        <f t="shared" si="2"/>
        <v>0</v>
      </c>
      <c r="BG33">
        <f t="shared" si="2"/>
        <v>0</v>
      </c>
      <c r="BH33">
        <f t="shared" si="2"/>
        <v>0</v>
      </c>
      <c r="BI33">
        <f t="shared" si="2"/>
        <v>0</v>
      </c>
      <c r="BJ33">
        <f t="shared" si="2"/>
        <v>0</v>
      </c>
      <c r="BK33">
        <f t="shared" si="2"/>
        <v>0</v>
      </c>
      <c r="BL33">
        <f t="shared" si="2"/>
        <v>0</v>
      </c>
      <c r="BM33">
        <f t="shared" si="2"/>
        <v>0</v>
      </c>
      <c r="BN33">
        <f t="shared" si="2"/>
        <v>0</v>
      </c>
      <c r="BO33">
        <f t="shared" ref="BO33:BU33" si="3">COUNTIF(BO$10, "&gt; 1")</f>
        <v>0</v>
      </c>
      <c r="BP33">
        <f t="shared" si="3"/>
        <v>0</v>
      </c>
      <c r="BQ33">
        <f t="shared" si="3"/>
        <v>0</v>
      </c>
      <c r="BR33">
        <f t="shared" si="3"/>
        <v>0</v>
      </c>
      <c r="BS33">
        <f t="shared" si="3"/>
        <v>0</v>
      </c>
      <c r="BT33">
        <f t="shared" si="3"/>
        <v>0</v>
      </c>
      <c r="BU33">
        <f t="shared" si="3"/>
        <v>0</v>
      </c>
    </row>
    <row r="34" spans="1:73" x14ac:dyDescent="0.25">
      <c r="A34" t="s">
        <v>141</v>
      </c>
      <c r="B34">
        <f>COUNTIF(B$14, "&gt; 1")</f>
        <v>0</v>
      </c>
      <c r="C34">
        <f t="shared" ref="C34:BN34" si="4">COUNTIF(C$14, "&gt; 1")</f>
        <v>0</v>
      </c>
      <c r="D34">
        <f t="shared" si="4"/>
        <v>0</v>
      </c>
      <c r="E34">
        <f t="shared" si="4"/>
        <v>0</v>
      </c>
      <c r="F34">
        <f t="shared" si="4"/>
        <v>0</v>
      </c>
      <c r="G34">
        <f t="shared" si="4"/>
        <v>0</v>
      </c>
      <c r="H34">
        <f t="shared" si="4"/>
        <v>0</v>
      </c>
      <c r="I34">
        <f t="shared" si="4"/>
        <v>0</v>
      </c>
      <c r="J34">
        <f t="shared" si="4"/>
        <v>0</v>
      </c>
      <c r="K34">
        <f t="shared" si="4"/>
        <v>0</v>
      </c>
      <c r="L34">
        <f t="shared" si="4"/>
        <v>0</v>
      </c>
      <c r="M34">
        <f t="shared" si="4"/>
        <v>0</v>
      </c>
      <c r="N34">
        <f t="shared" si="4"/>
        <v>0</v>
      </c>
      <c r="O34">
        <f t="shared" si="4"/>
        <v>0</v>
      </c>
      <c r="P34">
        <f t="shared" si="4"/>
        <v>0</v>
      </c>
      <c r="Q34">
        <f t="shared" si="4"/>
        <v>0</v>
      </c>
      <c r="R34">
        <f t="shared" si="4"/>
        <v>0</v>
      </c>
      <c r="S34">
        <f t="shared" si="4"/>
        <v>0</v>
      </c>
      <c r="T34">
        <f t="shared" si="4"/>
        <v>0</v>
      </c>
      <c r="U34">
        <f t="shared" si="4"/>
        <v>0</v>
      </c>
      <c r="V34">
        <f t="shared" si="4"/>
        <v>0</v>
      </c>
      <c r="W34">
        <f t="shared" si="4"/>
        <v>0</v>
      </c>
      <c r="X34">
        <f t="shared" si="4"/>
        <v>0</v>
      </c>
      <c r="Y34">
        <f t="shared" si="4"/>
        <v>0</v>
      </c>
      <c r="Z34">
        <f t="shared" si="4"/>
        <v>0</v>
      </c>
      <c r="AA34">
        <f t="shared" si="4"/>
        <v>0</v>
      </c>
      <c r="AB34">
        <f t="shared" si="4"/>
        <v>0</v>
      </c>
      <c r="AC34">
        <f t="shared" si="4"/>
        <v>0</v>
      </c>
      <c r="AD34">
        <f t="shared" si="4"/>
        <v>0</v>
      </c>
      <c r="AE34">
        <f t="shared" si="4"/>
        <v>0</v>
      </c>
      <c r="AF34">
        <f t="shared" si="4"/>
        <v>0</v>
      </c>
      <c r="AG34">
        <f t="shared" si="4"/>
        <v>0</v>
      </c>
      <c r="AH34">
        <f t="shared" si="4"/>
        <v>0</v>
      </c>
      <c r="AI34">
        <f t="shared" si="4"/>
        <v>0</v>
      </c>
      <c r="AJ34">
        <f t="shared" si="4"/>
        <v>0</v>
      </c>
      <c r="AK34">
        <f t="shared" si="4"/>
        <v>0</v>
      </c>
      <c r="AL34">
        <f t="shared" si="4"/>
        <v>0</v>
      </c>
      <c r="AM34">
        <f t="shared" si="4"/>
        <v>0</v>
      </c>
      <c r="AN34">
        <f t="shared" si="4"/>
        <v>0</v>
      </c>
      <c r="AO34">
        <f t="shared" si="4"/>
        <v>0</v>
      </c>
      <c r="AP34">
        <f t="shared" si="4"/>
        <v>0</v>
      </c>
      <c r="AQ34">
        <f t="shared" si="4"/>
        <v>0</v>
      </c>
      <c r="AR34">
        <f t="shared" si="4"/>
        <v>0</v>
      </c>
      <c r="AS34">
        <f t="shared" si="4"/>
        <v>0</v>
      </c>
      <c r="AT34">
        <f t="shared" si="4"/>
        <v>0</v>
      </c>
      <c r="AU34">
        <f t="shared" si="4"/>
        <v>0</v>
      </c>
      <c r="AV34">
        <f t="shared" si="4"/>
        <v>0</v>
      </c>
      <c r="AW34">
        <f t="shared" si="4"/>
        <v>0</v>
      </c>
      <c r="AX34">
        <f t="shared" si="4"/>
        <v>0</v>
      </c>
      <c r="AY34">
        <f t="shared" si="4"/>
        <v>0</v>
      </c>
      <c r="AZ34">
        <f t="shared" si="4"/>
        <v>0</v>
      </c>
      <c r="BA34">
        <f t="shared" si="4"/>
        <v>0</v>
      </c>
      <c r="BB34">
        <f t="shared" si="4"/>
        <v>0</v>
      </c>
      <c r="BC34">
        <f t="shared" si="4"/>
        <v>0</v>
      </c>
      <c r="BD34">
        <f t="shared" si="4"/>
        <v>0</v>
      </c>
      <c r="BE34">
        <f t="shared" si="4"/>
        <v>0</v>
      </c>
      <c r="BF34">
        <f t="shared" si="4"/>
        <v>0</v>
      </c>
      <c r="BG34">
        <f t="shared" si="4"/>
        <v>0</v>
      </c>
      <c r="BH34">
        <f t="shared" si="4"/>
        <v>0</v>
      </c>
      <c r="BI34">
        <f t="shared" si="4"/>
        <v>0</v>
      </c>
      <c r="BJ34">
        <f t="shared" si="4"/>
        <v>0</v>
      </c>
      <c r="BK34">
        <f t="shared" si="4"/>
        <v>0</v>
      </c>
      <c r="BL34">
        <f t="shared" si="4"/>
        <v>0</v>
      </c>
      <c r="BM34">
        <f t="shared" si="4"/>
        <v>0</v>
      </c>
      <c r="BN34">
        <f t="shared" si="4"/>
        <v>0</v>
      </c>
      <c r="BO34">
        <f t="shared" ref="BO34:BU34" si="5">COUNTIF(BO$14, "&gt; 1")</f>
        <v>0</v>
      </c>
      <c r="BP34">
        <f t="shared" si="5"/>
        <v>0</v>
      </c>
      <c r="BQ34">
        <f t="shared" si="5"/>
        <v>0</v>
      </c>
      <c r="BR34">
        <f t="shared" si="5"/>
        <v>0</v>
      </c>
      <c r="BS34">
        <f t="shared" si="5"/>
        <v>0</v>
      </c>
      <c r="BT34">
        <f t="shared" si="5"/>
        <v>0</v>
      </c>
      <c r="BU34">
        <f t="shared" si="5"/>
        <v>0</v>
      </c>
    </row>
    <row r="35" spans="1:73" x14ac:dyDescent="0.25">
      <c r="A35" t="s">
        <v>142</v>
      </c>
      <c r="B35">
        <f>COUNTIF(B$5, "&gt; 1")</f>
        <v>0</v>
      </c>
      <c r="C35">
        <f t="shared" ref="C35:BN35" si="6">COUNTIF(C$5, "&gt; 1")</f>
        <v>0</v>
      </c>
      <c r="D35">
        <f t="shared" si="6"/>
        <v>0</v>
      </c>
      <c r="E35">
        <f t="shared" si="6"/>
        <v>0</v>
      </c>
      <c r="F35">
        <f t="shared" si="6"/>
        <v>0</v>
      </c>
      <c r="G35">
        <f t="shared" si="6"/>
        <v>0</v>
      </c>
      <c r="H35">
        <f t="shared" si="6"/>
        <v>0</v>
      </c>
      <c r="I35">
        <f t="shared" si="6"/>
        <v>0</v>
      </c>
      <c r="J35">
        <f t="shared" si="6"/>
        <v>0</v>
      </c>
      <c r="K35">
        <f t="shared" si="6"/>
        <v>0</v>
      </c>
      <c r="L35">
        <f t="shared" si="6"/>
        <v>0</v>
      </c>
      <c r="M35">
        <f t="shared" si="6"/>
        <v>0</v>
      </c>
      <c r="N35">
        <f t="shared" si="6"/>
        <v>0</v>
      </c>
      <c r="O35">
        <f t="shared" si="6"/>
        <v>0</v>
      </c>
      <c r="P35">
        <f t="shared" si="6"/>
        <v>0</v>
      </c>
      <c r="Q35">
        <f t="shared" si="6"/>
        <v>0</v>
      </c>
      <c r="R35">
        <f t="shared" si="6"/>
        <v>0</v>
      </c>
      <c r="S35">
        <f t="shared" si="6"/>
        <v>0</v>
      </c>
      <c r="T35">
        <f t="shared" si="6"/>
        <v>0</v>
      </c>
      <c r="U35">
        <f t="shared" si="6"/>
        <v>0</v>
      </c>
      <c r="V35">
        <f t="shared" si="6"/>
        <v>0</v>
      </c>
      <c r="W35">
        <f t="shared" si="6"/>
        <v>0</v>
      </c>
      <c r="X35">
        <f t="shared" si="6"/>
        <v>0</v>
      </c>
      <c r="Y35">
        <f t="shared" si="6"/>
        <v>0</v>
      </c>
      <c r="Z35">
        <f t="shared" si="6"/>
        <v>0</v>
      </c>
      <c r="AA35">
        <f t="shared" si="6"/>
        <v>0</v>
      </c>
      <c r="AB35">
        <f t="shared" si="6"/>
        <v>0</v>
      </c>
      <c r="AC35">
        <f t="shared" si="6"/>
        <v>0</v>
      </c>
      <c r="AD35">
        <f t="shared" si="6"/>
        <v>0</v>
      </c>
      <c r="AE35">
        <f t="shared" si="6"/>
        <v>0</v>
      </c>
      <c r="AF35">
        <f t="shared" si="6"/>
        <v>0</v>
      </c>
      <c r="AG35">
        <f t="shared" si="6"/>
        <v>0</v>
      </c>
      <c r="AH35">
        <f t="shared" si="6"/>
        <v>0</v>
      </c>
      <c r="AI35">
        <f t="shared" si="6"/>
        <v>0</v>
      </c>
      <c r="AJ35">
        <f t="shared" si="6"/>
        <v>0</v>
      </c>
      <c r="AK35">
        <f t="shared" si="6"/>
        <v>0</v>
      </c>
      <c r="AL35">
        <f t="shared" si="6"/>
        <v>0</v>
      </c>
      <c r="AM35">
        <f t="shared" si="6"/>
        <v>0</v>
      </c>
      <c r="AN35">
        <f t="shared" si="6"/>
        <v>0</v>
      </c>
      <c r="AO35">
        <f t="shared" si="6"/>
        <v>0</v>
      </c>
      <c r="AP35">
        <f t="shared" si="6"/>
        <v>0</v>
      </c>
      <c r="AQ35">
        <f t="shared" si="6"/>
        <v>0</v>
      </c>
      <c r="AR35">
        <f t="shared" si="6"/>
        <v>0</v>
      </c>
      <c r="AS35">
        <f t="shared" si="6"/>
        <v>0</v>
      </c>
      <c r="AT35">
        <f t="shared" si="6"/>
        <v>0</v>
      </c>
      <c r="AU35">
        <f t="shared" si="6"/>
        <v>0</v>
      </c>
      <c r="AV35">
        <f t="shared" si="6"/>
        <v>0</v>
      </c>
      <c r="AW35">
        <f t="shared" si="6"/>
        <v>0</v>
      </c>
      <c r="AX35">
        <f t="shared" si="6"/>
        <v>0</v>
      </c>
      <c r="AY35">
        <f t="shared" si="6"/>
        <v>0</v>
      </c>
      <c r="AZ35">
        <f t="shared" si="6"/>
        <v>0</v>
      </c>
      <c r="BA35">
        <f t="shared" si="6"/>
        <v>0</v>
      </c>
      <c r="BB35">
        <f t="shared" si="6"/>
        <v>0</v>
      </c>
      <c r="BC35">
        <f t="shared" si="6"/>
        <v>0</v>
      </c>
      <c r="BD35">
        <f t="shared" si="6"/>
        <v>0</v>
      </c>
      <c r="BE35">
        <f t="shared" si="6"/>
        <v>0</v>
      </c>
      <c r="BF35">
        <f t="shared" si="6"/>
        <v>0</v>
      </c>
      <c r="BG35">
        <f t="shared" si="6"/>
        <v>0</v>
      </c>
      <c r="BH35">
        <f t="shared" si="6"/>
        <v>0</v>
      </c>
      <c r="BI35">
        <f t="shared" si="6"/>
        <v>0</v>
      </c>
      <c r="BJ35">
        <f t="shared" si="6"/>
        <v>0</v>
      </c>
      <c r="BK35">
        <f t="shared" si="6"/>
        <v>0</v>
      </c>
      <c r="BL35">
        <f t="shared" si="6"/>
        <v>0</v>
      </c>
      <c r="BM35">
        <f t="shared" si="6"/>
        <v>0</v>
      </c>
      <c r="BN35">
        <f t="shared" si="6"/>
        <v>0</v>
      </c>
      <c r="BO35">
        <f t="shared" ref="BO35:BU35" si="7">COUNTIF(BO$5, "&gt; 1")</f>
        <v>0</v>
      </c>
      <c r="BP35">
        <f t="shared" si="7"/>
        <v>0</v>
      </c>
      <c r="BQ35">
        <f t="shared" si="7"/>
        <v>0</v>
      </c>
      <c r="BR35">
        <f t="shared" si="7"/>
        <v>0</v>
      </c>
      <c r="BS35">
        <f t="shared" si="7"/>
        <v>0</v>
      </c>
      <c r="BT35">
        <f t="shared" si="7"/>
        <v>0</v>
      </c>
      <c r="BU35">
        <f t="shared" si="7"/>
        <v>0</v>
      </c>
    </row>
    <row r="36" spans="1:73" x14ac:dyDescent="0.25">
      <c r="A36" t="s">
        <v>143</v>
      </c>
      <c r="B36">
        <f>COUNTIF(B$11, "&gt; 1")</f>
        <v>0</v>
      </c>
      <c r="C36">
        <f t="shared" ref="C36:BN36" si="8">COUNTIF(C$11, "&gt; 1")</f>
        <v>0</v>
      </c>
      <c r="D36">
        <f t="shared" si="8"/>
        <v>0</v>
      </c>
      <c r="E36">
        <f t="shared" si="8"/>
        <v>0</v>
      </c>
      <c r="F36">
        <f t="shared" si="8"/>
        <v>0</v>
      </c>
      <c r="G36">
        <f t="shared" si="8"/>
        <v>0</v>
      </c>
      <c r="H36">
        <f t="shared" si="8"/>
        <v>0</v>
      </c>
      <c r="I36">
        <f t="shared" si="8"/>
        <v>0</v>
      </c>
      <c r="J36">
        <f t="shared" si="8"/>
        <v>0</v>
      </c>
      <c r="K36">
        <f t="shared" si="8"/>
        <v>0</v>
      </c>
      <c r="L36">
        <f t="shared" si="8"/>
        <v>0</v>
      </c>
      <c r="M36">
        <f t="shared" si="8"/>
        <v>0</v>
      </c>
      <c r="N36">
        <f t="shared" si="8"/>
        <v>0</v>
      </c>
      <c r="O36">
        <f t="shared" si="8"/>
        <v>0</v>
      </c>
      <c r="P36">
        <f t="shared" si="8"/>
        <v>0</v>
      </c>
      <c r="Q36">
        <f t="shared" si="8"/>
        <v>0</v>
      </c>
      <c r="R36">
        <f t="shared" si="8"/>
        <v>0</v>
      </c>
      <c r="S36">
        <f t="shared" si="8"/>
        <v>0</v>
      </c>
      <c r="T36">
        <f t="shared" si="8"/>
        <v>0</v>
      </c>
      <c r="U36">
        <f t="shared" si="8"/>
        <v>0</v>
      </c>
      <c r="V36">
        <f t="shared" si="8"/>
        <v>0</v>
      </c>
      <c r="W36">
        <f t="shared" si="8"/>
        <v>0</v>
      </c>
      <c r="X36">
        <f t="shared" si="8"/>
        <v>0</v>
      </c>
      <c r="Y36">
        <f t="shared" si="8"/>
        <v>0</v>
      </c>
      <c r="Z36">
        <f t="shared" si="8"/>
        <v>0</v>
      </c>
      <c r="AA36">
        <f t="shared" si="8"/>
        <v>0</v>
      </c>
      <c r="AB36">
        <f t="shared" si="8"/>
        <v>0</v>
      </c>
      <c r="AC36">
        <f t="shared" si="8"/>
        <v>0</v>
      </c>
      <c r="AD36">
        <f t="shared" si="8"/>
        <v>0</v>
      </c>
      <c r="AE36">
        <f t="shared" si="8"/>
        <v>0</v>
      </c>
      <c r="AF36">
        <f t="shared" si="8"/>
        <v>0</v>
      </c>
      <c r="AG36">
        <f t="shared" si="8"/>
        <v>0</v>
      </c>
      <c r="AH36">
        <f t="shared" si="8"/>
        <v>0</v>
      </c>
      <c r="AI36">
        <f t="shared" si="8"/>
        <v>0</v>
      </c>
      <c r="AJ36">
        <f t="shared" si="8"/>
        <v>0</v>
      </c>
      <c r="AK36">
        <f t="shared" si="8"/>
        <v>0</v>
      </c>
      <c r="AL36">
        <f t="shared" si="8"/>
        <v>0</v>
      </c>
      <c r="AM36">
        <f t="shared" si="8"/>
        <v>0</v>
      </c>
      <c r="AN36">
        <f t="shared" si="8"/>
        <v>0</v>
      </c>
      <c r="AO36">
        <f t="shared" si="8"/>
        <v>0</v>
      </c>
      <c r="AP36">
        <f t="shared" si="8"/>
        <v>0</v>
      </c>
      <c r="AQ36">
        <f t="shared" si="8"/>
        <v>0</v>
      </c>
      <c r="AR36">
        <f t="shared" si="8"/>
        <v>0</v>
      </c>
      <c r="AS36">
        <f t="shared" si="8"/>
        <v>0</v>
      </c>
      <c r="AT36">
        <f t="shared" si="8"/>
        <v>0</v>
      </c>
      <c r="AU36">
        <f t="shared" si="8"/>
        <v>0</v>
      </c>
      <c r="AV36">
        <f t="shared" si="8"/>
        <v>0</v>
      </c>
      <c r="AW36">
        <f t="shared" si="8"/>
        <v>0</v>
      </c>
      <c r="AX36">
        <f t="shared" si="8"/>
        <v>0</v>
      </c>
      <c r="AY36">
        <f t="shared" si="8"/>
        <v>0</v>
      </c>
      <c r="AZ36">
        <f t="shared" si="8"/>
        <v>0</v>
      </c>
      <c r="BA36">
        <f t="shared" si="8"/>
        <v>0</v>
      </c>
      <c r="BB36">
        <f t="shared" si="8"/>
        <v>0</v>
      </c>
      <c r="BC36">
        <f t="shared" si="8"/>
        <v>0</v>
      </c>
      <c r="BD36">
        <f t="shared" si="8"/>
        <v>0</v>
      </c>
      <c r="BE36">
        <f t="shared" si="8"/>
        <v>0</v>
      </c>
      <c r="BF36">
        <f t="shared" si="8"/>
        <v>0</v>
      </c>
      <c r="BG36">
        <f t="shared" si="8"/>
        <v>0</v>
      </c>
      <c r="BH36">
        <f t="shared" si="8"/>
        <v>0</v>
      </c>
      <c r="BI36">
        <f t="shared" si="8"/>
        <v>0</v>
      </c>
      <c r="BJ36">
        <f t="shared" si="8"/>
        <v>0</v>
      </c>
      <c r="BK36">
        <f t="shared" si="8"/>
        <v>0</v>
      </c>
      <c r="BL36">
        <f t="shared" si="8"/>
        <v>0</v>
      </c>
      <c r="BM36">
        <f t="shared" si="8"/>
        <v>0</v>
      </c>
      <c r="BN36">
        <f t="shared" si="8"/>
        <v>0</v>
      </c>
      <c r="BO36">
        <f t="shared" ref="BO36:BU36" si="9">COUNTIF(BO$11, "&gt; 1")</f>
        <v>0</v>
      </c>
      <c r="BP36">
        <f t="shared" si="9"/>
        <v>0</v>
      </c>
      <c r="BQ36">
        <f t="shared" si="9"/>
        <v>0</v>
      </c>
      <c r="BR36">
        <f t="shared" si="9"/>
        <v>0</v>
      </c>
      <c r="BS36">
        <f t="shared" si="9"/>
        <v>0</v>
      </c>
      <c r="BT36">
        <f t="shared" si="9"/>
        <v>0</v>
      </c>
      <c r="BU36">
        <f t="shared" si="9"/>
        <v>0</v>
      </c>
    </row>
    <row r="37" spans="1:73" x14ac:dyDescent="0.25">
      <c r="A37" t="s">
        <v>144</v>
      </c>
      <c r="B37">
        <f>COUNTIF(B$12, "&gt; 1")</f>
        <v>0</v>
      </c>
      <c r="C37">
        <f t="shared" ref="C37:BN37" si="10">COUNTIF(C$12, "&gt; 1")</f>
        <v>0</v>
      </c>
      <c r="D37">
        <f t="shared" si="10"/>
        <v>0</v>
      </c>
      <c r="E37">
        <f t="shared" si="10"/>
        <v>0</v>
      </c>
      <c r="F37">
        <f t="shared" si="10"/>
        <v>0</v>
      </c>
      <c r="G37">
        <f t="shared" si="10"/>
        <v>0</v>
      </c>
      <c r="H37">
        <f t="shared" si="10"/>
        <v>0</v>
      </c>
      <c r="I37">
        <f t="shared" si="10"/>
        <v>0</v>
      </c>
      <c r="J37">
        <f t="shared" si="10"/>
        <v>0</v>
      </c>
      <c r="K37">
        <f t="shared" si="10"/>
        <v>0</v>
      </c>
      <c r="L37">
        <f t="shared" si="10"/>
        <v>0</v>
      </c>
      <c r="M37">
        <f t="shared" si="10"/>
        <v>0</v>
      </c>
      <c r="N37">
        <f t="shared" si="10"/>
        <v>0</v>
      </c>
      <c r="O37">
        <f t="shared" si="10"/>
        <v>0</v>
      </c>
      <c r="P37">
        <f t="shared" si="10"/>
        <v>0</v>
      </c>
      <c r="Q37">
        <f t="shared" si="10"/>
        <v>0</v>
      </c>
      <c r="R37">
        <f t="shared" si="10"/>
        <v>0</v>
      </c>
      <c r="S37">
        <f t="shared" si="10"/>
        <v>0</v>
      </c>
      <c r="T37">
        <f t="shared" si="10"/>
        <v>0</v>
      </c>
      <c r="U37">
        <f t="shared" si="10"/>
        <v>0</v>
      </c>
      <c r="V37">
        <f t="shared" si="10"/>
        <v>0</v>
      </c>
      <c r="W37">
        <f t="shared" si="10"/>
        <v>0</v>
      </c>
      <c r="X37">
        <f t="shared" si="10"/>
        <v>0</v>
      </c>
      <c r="Y37">
        <f t="shared" si="10"/>
        <v>0</v>
      </c>
      <c r="Z37">
        <f t="shared" si="10"/>
        <v>0</v>
      </c>
      <c r="AA37">
        <f t="shared" si="10"/>
        <v>0</v>
      </c>
      <c r="AB37">
        <f t="shared" si="10"/>
        <v>0</v>
      </c>
      <c r="AC37">
        <f t="shared" si="10"/>
        <v>0</v>
      </c>
      <c r="AD37">
        <f t="shared" si="10"/>
        <v>0</v>
      </c>
      <c r="AE37">
        <f t="shared" si="10"/>
        <v>0</v>
      </c>
      <c r="AF37">
        <f t="shared" si="10"/>
        <v>0</v>
      </c>
      <c r="AG37">
        <f t="shared" si="10"/>
        <v>0</v>
      </c>
      <c r="AH37">
        <f t="shared" si="10"/>
        <v>0</v>
      </c>
      <c r="AI37">
        <f t="shared" si="10"/>
        <v>0</v>
      </c>
      <c r="AJ37">
        <f t="shared" si="10"/>
        <v>0</v>
      </c>
      <c r="AK37">
        <f t="shared" si="10"/>
        <v>0</v>
      </c>
      <c r="AL37">
        <f t="shared" si="10"/>
        <v>0</v>
      </c>
      <c r="AM37">
        <f t="shared" si="10"/>
        <v>0</v>
      </c>
      <c r="AN37">
        <f t="shared" si="10"/>
        <v>0</v>
      </c>
      <c r="AO37">
        <f t="shared" si="10"/>
        <v>0</v>
      </c>
      <c r="AP37">
        <f t="shared" si="10"/>
        <v>0</v>
      </c>
      <c r="AQ37">
        <f t="shared" si="10"/>
        <v>0</v>
      </c>
      <c r="AR37">
        <f t="shared" si="10"/>
        <v>0</v>
      </c>
      <c r="AS37">
        <f t="shared" si="10"/>
        <v>0</v>
      </c>
      <c r="AT37">
        <f t="shared" si="10"/>
        <v>0</v>
      </c>
      <c r="AU37">
        <f t="shared" si="10"/>
        <v>0</v>
      </c>
      <c r="AV37">
        <f t="shared" si="10"/>
        <v>0</v>
      </c>
      <c r="AW37">
        <f t="shared" si="10"/>
        <v>0</v>
      </c>
      <c r="AX37">
        <f t="shared" si="10"/>
        <v>0</v>
      </c>
      <c r="AY37">
        <f t="shared" si="10"/>
        <v>0</v>
      </c>
      <c r="AZ37">
        <f t="shared" si="10"/>
        <v>0</v>
      </c>
      <c r="BA37">
        <f t="shared" si="10"/>
        <v>0</v>
      </c>
      <c r="BB37">
        <f t="shared" si="10"/>
        <v>0</v>
      </c>
      <c r="BC37">
        <f t="shared" si="10"/>
        <v>0</v>
      </c>
      <c r="BD37">
        <f t="shared" si="10"/>
        <v>0</v>
      </c>
      <c r="BE37">
        <f t="shared" si="10"/>
        <v>0</v>
      </c>
      <c r="BF37">
        <f t="shared" si="10"/>
        <v>0</v>
      </c>
      <c r="BG37">
        <f t="shared" si="10"/>
        <v>0</v>
      </c>
      <c r="BH37">
        <f t="shared" si="10"/>
        <v>0</v>
      </c>
      <c r="BI37">
        <f t="shared" si="10"/>
        <v>0</v>
      </c>
      <c r="BJ37">
        <f t="shared" si="10"/>
        <v>0</v>
      </c>
      <c r="BK37">
        <f t="shared" si="10"/>
        <v>0</v>
      </c>
      <c r="BL37">
        <f t="shared" si="10"/>
        <v>0</v>
      </c>
      <c r="BM37">
        <f t="shared" si="10"/>
        <v>0</v>
      </c>
      <c r="BN37">
        <f t="shared" si="10"/>
        <v>0</v>
      </c>
      <c r="BO37">
        <f t="shared" ref="BO37:BU37" si="11">COUNTIF(BO$12, "&gt; 1")</f>
        <v>0</v>
      </c>
      <c r="BP37">
        <f t="shared" si="11"/>
        <v>0</v>
      </c>
      <c r="BQ37">
        <f t="shared" si="11"/>
        <v>0</v>
      </c>
      <c r="BR37">
        <f t="shared" si="11"/>
        <v>0</v>
      </c>
      <c r="BS37">
        <f t="shared" si="11"/>
        <v>0</v>
      </c>
      <c r="BT37">
        <f t="shared" si="11"/>
        <v>0</v>
      </c>
      <c r="BU37">
        <f t="shared" si="11"/>
        <v>0</v>
      </c>
    </row>
    <row r="38" spans="1:73" x14ac:dyDescent="0.25">
      <c r="A38" t="s">
        <v>145</v>
      </c>
      <c r="B38">
        <f>COUNTIF(B$15, "&gt; 1")</f>
        <v>0</v>
      </c>
      <c r="C38">
        <f t="shared" ref="C38:BN38" si="12">COUNTIF(C$15, "&gt; 1")</f>
        <v>0</v>
      </c>
      <c r="D38">
        <f t="shared" si="12"/>
        <v>0</v>
      </c>
      <c r="E38">
        <f t="shared" si="12"/>
        <v>0</v>
      </c>
      <c r="F38">
        <f t="shared" si="12"/>
        <v>0</v>
      </c>
      <c r="G38">
        <f t="shared" si="12"/>
        <v>0</v>
      </c>
      <c r="H38">
        <f t="shared" si="12"/>
        <v>0</v>
      </c>
      <c r="I38">
        <f t="shared" si="12"/>
        <v>0</v>
      </c>
      <c r="J38">
        <f t="shared" si="12"/>
        <v>0</v>
      </c>
      <c r="K38">
        <f t="shared" si="12"/>
        <v>0</v>
      </c>
      <c r="L38">
        <f t="shared" si="12"/>
        <v>0</v>
      </c>
      <c r="M38">
        <f t="shared" si="12"/>
        <v>0</v>
      </c>
      <c r="N38">
        <f t="shared" si="12"/>
        <v>0</v>
      </c>
      <c r="O38">
        <f t="shared" si="12"/>
        <v>0</v>
      </c>
      <c r="P38">
        <f t="shared" si="12"/>
        <v>0</v>
      </c>
      <c r="Q38">
        <f t="shared" si="12"/>
        <v>0</v>
      </c>
      <c r="R38">
        <f t="shared" si="12"/>
        <v>0</v>
      </c>
      <c r="S38">
        <f t="shared" si="12"/>
        <v>0</v>
      </c>
      <c r="T38">
        <f t="shared" si="12"/>
        <v>0</v>
      </c>
      <c r="U38">
        <f t="shared" si="12"/>
        <v>0</v>
      </c>
      <c r="V38">
        <f t="shared" si="12"/>
        <v>0</v>
      </c>
      <c r="W38">
        <f t="shared" si="12"/>
        <v>0</v>
      </c>
      <c r="X38">
        <f t="shared" si="12"/>
        <v>0</v>
      </c>
      <c r="Y38">
        <f t="shared" si="12"/>
        <v>0</v>
      </c>
      <c r="Z38">
        <f t="shared" si="12"/>
        <v>0</v>
      </c>
      <c r="AA38">
        <f t="shared" si="12"/>
        <v>0</v>
      </c>
      <c r="AB38">
        <f t="shared" si="12"/>
        <v>0</v>
      </c>
      <c r="AC38">
        <f t="shared" si="12"/>
        <v>0</v>
      </c>
      <c r="AD38">
        <f t="shared" si="12"/>
        <v>0</v>
      </c>
      <c r="AE38">
        <f t="shared" si="12"/>
        <v>0</v>
      </c>
      <c r="AF38">
        <f t="shared" si="12"/>
        <v>0</v>
      </c>
      <c r="AG38">
        <f t="shared" si="12"/>
        <v>0</v>
      </c>
      <c r="AH38">
        <f t="shared" si="12"/>
        <v>0</v>
      </c>
      <c r="AI38">
        <f t="shared" si="12"/>
        <v>0</v>
      </c>
      <c r="AJ38">
        <f t="shared" si="12"/>
        <v>0</v>
      </c>
      <c r="AK38">
        <f t="shared" si="12"/>
        <v>0</v>
      </c>
      <c r="AL38">
        <f t="shared" si="12"/>
        <v>0</v>
      </c>
      <c r="AM38">
        <f t="shared" si="12"/>
        <v>0</v>
      </c>
      <c r="AN38">
        <f t="shared" si="12"/>
        <v>0</v>
      </c>
      <c r="AO38">
        <f t="shared" si="12"/>
        <v>0</v>
      </c>
      <c r="AP38">
        <f t="shared" si="12"/>
        <v>0</v>
      </c>
      <c r="AQ38">
        <f t="shared" si="12"/>
        <v>0</v>
      </c>
      <c r="AR38">
        <f t="shared" si="12"/>
        <v>0</v>
      </c>
      <c r="AS38">
        <f t="shared" si="12"/>
        <v>0</v>
      </c>
      <c r="AT38">
        <f t="shared" si="12"/>
        <v>0</v>
      </c>
      <c r="AU38">
        <f t="shared" si="12"/>
        <v>0</v>
      </c>
      <c r="AV38">
        <f t="shared" si="12"/>
        <v>0</v>
      </c>
      <c r="AW38">
        <f t="shared" si="12"/>
        <v>0</v>
      </c>
      <c r="AX38">
        <f t="shared" si="12"/>
        <v>0</v>
      </c>
      <c r="AY38">
        <f t="shared" si="12"/>
        <v>0</v>
      </c>
      <c r="AZ38">
        <f t="shared" si="12"/>
        <v>0</v>
      </c>
      <c r="BA38">
        <f t="shared" si="12"/>
        <v>0</v>
      </c>
      <c r="BB38">
        <f t="shared" si="12"/>
        <v>0</v>
      </c>
      <c r="BC38">
        <f t="shared" si="12"/>
        <v>0</v>
      </c>
      <c r="BD38">
        <f t="shared" si="12"/>
        <v>0</v>
      </c>
      <c r="BE38">
        <f t="shared" si="12"/>
        <v>0</v>
      </c>
      <c r="BF38">
        <f t="shared" si="12"/>
        <v>0</v>
      </c>
      <c r="BG38">
        <f t="shared" si="12"/>
        <v>0</v>
      </c>
      <c r="BH38">
        <f t="shared" si="12"/>
        <v>0</v>
      </c>
      <c r="BI38">
        <f t="shared" si="12"/>
        <v>0</v>
      </c>
      <c r="BJ38">
        <f t="shared" si="12"/>
        <v>0</v>
      </c>
      <c r="BK38">
        <f t="shared" si="12"/>
        <v>0</v>
      </c>
      <c r="BL38">
        <f t="shared" si="12"/>
        <v>0</v>
      </c>
      <c r="BM38">
        <f t="shared" si="12"/>
        <v>0</v>
      </c>
      <c r="BN38">
        <f t="shared" si="12"/>
        <v>0</v>
      </c>
      <c r="BO38">
        <f t="shared" ref="BO38:BU38" si="13">COUNTIF(BO$15, "&gt; 1")</f>
        <v>0</v>
      </c>
      <c r="BP38">
        <f t="shared" si="13"/>
        <v>0</v>
      </c>
      <c r="BQ38">
        <f t="shared" si="13"/>
        <v>0</v>
      </c>
      <c r="BR38">
        <f t="shared" si="13"/>
        <v>0</v>
      </c>
      <c r="BS38">
        <f t="shared" si="13"/>
        <v>0</v>
      </c>
      <c r="BT38">
        <f t="shared" si="13"/>
        <v>0</v>
      </c>
      <c r="BU38">
        <f t="shared" si="13"/>
        <v>0</v>
      </c>
    </row>
    <row r="39" spans="1:73" x14ac:dyDescent="0.25">
      <c r="A39" t="s">
        <v>129</v>
      </c>
      <c r="B39">
        <f>B32-(B33+B34)</f>
        <v>1</v>
      </c>
      <c r="C39">
        <f t="shared" ref="C39:BN39" si="14">C32-(C33+C34)</f>
        <v>0</v>
      </c>
      <c r="D39">
        <f t="shared" si="14"/>
        <v>0</v>
      </c>
      <c r="E39">
        <f t="shared" si="14"/>
        <v>0</v>
      </c>
      <c r="F39">
        <f t="shared" si="14"/>
        <v>0</v>
      </c>
      <c r="G39">
        <f t="shared" si="14"/>
        <v>0</v>
      </c>
      <c r="H39">
        <f t="shared" si="14"/>
        <v>9</v>
      </c>
      <c r="I39">
        <f t="shared" si="14"/>
        <v>1</v>
      </c>
      <c r="J39">
        <f t="shared" si="14"/>
        <v>0</v>
      </c>
      <c r="K39">
        <f t="shared" si="14"/>
        <v>0</v>
      </c>
      <c r="L39">
        <f t="shared" si="14"/>
        <v>0</v>
      </c>
      <c r="M39">
        <f t="shared" si="14"/>
        <v>1</v>
      </c>
      <c r="N39">
        <f t="shared" si="14"/>
        <v>0</v>
      </c>
      <c r="O39">
        <f t="shared" si="14"/>
        <v>0</v>
      </c>
      <c r="P39">
        <f t="shared" si="14"/>
        <v>5</v>
      </c>
      <c r="Q39">
        <f t="shared" si="14"/>
        <v>0</v>
      </c>
      <c r="R39">
        <f t="shared" si="14"/>
        <v>0</v>
      </c>
      <c r="S39">
        <f t="shared" si="14"/>
        <v>0</v>
      </c>
      <c r="T39">
        <f t="shared" si="14"/>
        <v>1</v>
      </c>
      <c r="U39">
        <f t="shared" si="14"/>
        <v>0</v>
      </c>
      <c r="V39">
        <f t="shared" si="14"/>
        <v>0</v>
      </c>
      <c r="W39">
        <f t="shared" si="14"/>
        <v>0</v>
      </c>
      <c r="X39">
        <f t="shared" si="14"/>
        <v>1</v>
      </c>
      <c r="Y39">
        <f t="shared" si="14"/>
        <v>0</v>
      </c>
      <c r="Z39">
        <f t="shared" si="14"/>
        <v>0</v>
      </c>
      <c r="AA39">
        <f t="shared" si="14"/>
        <v>10</v>
      </c>
      <c r="AB39">
        <f t="shared" si="14"/>
        <v>0</v>
      </c>
      <c r="AC39">
        <f t="shared" si="14"/>
        <v>0</v>
      </c>
      <c r="AD39">
        <f t="shared" si="14"/>
        <v>0</v>
      </c>
      <c r="AE39">
        <f t="shared" si="14"/>
        <v>0</v>
      </c>
      <c r="AF39">
        <f t="shared" si="14"/>
        <v>0</v>
      </c>
      <c r="AG39">
        <f t="shared" si="14"/>
        <v>0</v>
      </c>
      <c r="AH39">
        <f t="shared" si="14"/>
        <v>0</v>
      </c>
      <c r="AI39">
        <f t="shared" si="14"/>
        <v>0</v>
      </c>
      <c r="AJ39">
        <f t="shared" si="14"/>
        <v>0</v>
      </c>
      <c r="AK39">
        <f t="shared" si="14"/>
        <v>0</v>
      </c>
      <c r="AL39">
        <f t="shared" si="14"/>
        <v>0</v>
      </c>
      <c r="AM39">
        <f t="shared" si="14"/>
        <v>0</v>
      </c>
      <c r="AN39">
        <f t="shared" si="14"/>
        <v>0</v>
      </c>
      <c r="AO39">
        <f t="shared" si="14"/>
        <v>0</v>
      </c>
      <c r="AP39">
        <f t="shared" si="14"/>
        <v>0</v>
      </c>
      <c r="AQ39">
        <f t="shared" si="14"/>
        <v>2</v>
      </c>
      <c r="AR39">
        <f t="shared" si="14"/>
        <v>0</v>
      </c>
      <c r="AS39">
        <f t="shared" si="14"/>
        <v>1</v>
      </c>
      <c r="AT39">
        <f t="shared" si="14"/>
        <v>0</v>
      </c>
      <c r="AU39">
        <f t="shared" si="14"/>
        <v>0</v>
      </c>
      <c r="AV39">
        <f t="shared" si="14"/>
        <v>0</v>
      </c>
      <c r="AW39">
        <f t="shared" si="14"/>
        <v>0</v>
      </c>
      <c r="AX39">
        <f t="shared" si="14"/>
        <v>0</v>
      </c>
      <c r="AY39">
        <f t="shared" si="14"/>
        <v>0</v>
      </c>
      <c r="AZ39">
        <f t="shared" si="14"/>
        <v>0</v>
      </c>
      <c r="BA39">
        <f t="shared" si="14"/>
        <v>0</v>
      </c>
      <c r="BB39">
        <f t="shared" si="14"/>
        <v>0</v>
      </c>
      <c r="BC39">
        <f t="shared" si="14"/>
        <v>5</v>
      </c>
      <c r="BD39">
        <f t="shared" si="14"/>
        <v>0</v>
      </c>
      <c r="BE39">
        <f t="shared" si="14"/>
        <v>0</v>
      </c>
      <c r="BF39">
        <f t="shared" si="14"/>
        <v>0</v>
      </c>
      <c r="BG39">
        <f t="shared" si="14"/>
        <v>0</v>
      </c>
      <c r="BH39">
        <f t="shared" si="14"/>
        <v>0</v>
      </c>
      <c r="BI39">
        <f t="shared" si="14"/>
        <v>3</v>
      </c>
      <c r="BJ39">
        <f t="shared" si="14"/>
        <v>0</v>
      </c>
      <c r="BK39">
        <f t="shared" si="14"/>
        <v>0</v>
      </c>
      <c r="BL39">
        <f t="shared" si="14"/>
        <v>0</v>
      </c>
      <c r="BM39">
        <f t="shared" si="14"/>
        <v>0</v>
      </c>
      <c r="BN39">
        <f t="shared" si="14"/>
        <v>0</v>
      </c>
      <c r="BO39">
        <f t="shared" ref="BO39:BU39" si="15">BO32-(BO33+BO34)</f>
        <v>0</v>
      </c>
      <c r="BP39">
        <f t="shared" si="15"/>
        <v>0</v>
      </c>
      <c r="BQ39">
        <f t="shared" si="15"/>
        <v>0</v>
      </c>
      <c r="BR39">
        <f t="shared" si="15"/>
        <v>0</v>
      </c>
      <c r="BS39">
        <f t="shared" si="15"/>
        <v>0</v>
      </c>
      <c r="BT39">
        <f t="shared" si="15"/>
        <v>0</v>
      </c>
      <c r="BU39">
        <f t="shared" si="15"/>
        <v>0</v>
      </c>
    </row>
    <row r="40" spans="1:73" x14ac:dyDescent="0.25">
      <c r="A40" t="s">
        <v>130</v>
      </c>
      <c r="B40">
        <f>B32-(B33+B34+B35+B36+B37+B38)</f>
        <v>1</v>
      </c>
      <c r="C40">
        <f t="shared" ref="C40:BN40" si="16">C32-(C33+C34+C35+C36+C37+C38)</f>
        <v>0</v>
      </c>
      <c r="D40">
        <f t="shared" si="16"/>
        <v>0</v>
      </c>
      <c r="E40">
        <f t="shared" si="16"/>
        <v>0</v>
      </c>
      <c r="F40">
        <f t="shared" si="16"/>
        <v>0</v>
      </c>
      <c r="G40">
        <f t="shared" si="16"/>
        <v>0</v>
      </c>
      <c r="H40">
        <f t="shared" si="16"/>
        <v>9</v>
      </c>
      <c r="I40">
        <f t="shared" si="16"/>
        <v>1</v>
      </c>
      <c r="J40">
        <f t="shared" si="16"/>
        <v>0</v>
      </c>
      <c r="K40">
        <f t="shared" si="16"/>
        <v>0</v>
      </c>
      <c r="L40">
        <f t="shared" si="16"/>
        <v>0</v>
      </c>
      <c r="M40">
        <f t="shared" si="16"/>
        <v>1</v>
      </c>
      <c r="N40">
        <f t="shared" si="16"/>
        <v>0</v>
      </c>
      <c r="O40">
        <f t="shared" si="16"/>
        <v>0</v>
      </c>
      <c r="P40">
        <f t="shared" si="16"/>
        <v>5</v>
      </c>
      <c r="Q40">
        <f t="shared" si="16"/>
        <v>0</v>
      </c>
      <c r="R40">
        <f t="shared" si="16"/>
        <v>0</v>
      </c>
      <c r="S40">
        <f t="shared" si="16"/>
        <v>0</v>
      </c>
      <c r="T40">
        <f t="shared" si="16"/>
        <v>1</v>
      </c>
      <c r="U40">
        <f t="shared" si="16"/>
        <v>0</v>
      </c>
      <c r="V40">
        <f t="shared" si="16"/>
        <v>0</v>
      </c>
      <c r="W40">
        <f t="shared" si="16"/>
        <v>0</v>
      </c>
      <c r="X40">
        <f t="shared" si="16"/>
        <v>1</v>
      </c>
      <c r="Y40">
        <f t="shared" si="16"/>
        <v>0</v>
      </c>
      <c r="Z40">
        <f t="shared" si="16"/>
        <v>0</v>
      </c>
      <c r="AA40">
        <f t="shared" si="16"/>
        <v>10</v>
      </c>
      <c r="AB40">
        <f t="shared" si="16"/>
        <v>0</v>
      </c>
      <c r="AC40">
        <f t="shared" si="16"/>
        <v>0</v>
      </c>
      <c r="AD40">
        <f t="shared" si="16"/>
        <v>0</v>
      </c>
      <c r="AE40">
        <f t="shared" si="16"/>
        <v>0</v>
      </c>
      <c r="AF40">
        <f t="shared" si="16"/>
        <v>0</v>
      </c>
      <c r="AG40">
        <f t="shared" si="16"/>
        <v>0</v>
      </c>
      <c r="AH40">
        <f t="shared" si="16"/>
        <v>0</v>
      </c>
      <c r="AI40">
        <f t="shared" si="16"/>
        <v>0</v>
      </c>
      <c r="AJ40">
        <f t="shared" si="16"/>
        <v>0</v>
      </c>
      <c r="AK40">
        <f t="shared" si="16"/>
        <v>0</v>
      </c>
      <c r="AL40">
        <f t="shared" si="16"/>
        <v>0</v>
      </c>
      <c r="AM40">
        <f t="shared" si="16"/>
        <v>0</v>
      </c>
      <c r="AN40">
        <f t="shared" si="16"/>
        <v>0</v>
      </c>
      <c r="AO40">
        <f t="shared" si="16"/>
        <v>0</v>
      </c>
      <c r="AP40">
        <f t="shared" si="16"/>
        <v>0</v>
      </c>
      <c r="AQ40">
        <f t="shared" si="16"/>
        <v>2</v>
      </c>
      <c r="AR40">
        <f t="shared" si="16"/>
        <v>0</v>
      </c>
      <c r="AS40">
        <f t="shared" si="16"/>
        <v>1</v>
      </c>
      <c r="AT40">
        <f t="shared" si="16"/>
        <v>0</v>
      </c>
      <c r="AU40">
        <f t="shared" si="16"/>
        <v>0</v>
      </c>
      <c r="AV40">
        <f t="shared" si="16"/>
        <v>0</v>
      </c>
      <c r="AW40">
        <f t="shared" si="16"/>
        <v>0</v>
      </c>
      <c r="AX40">
        <f t="shared" si="16"/>
        <v>0</v>
      </c>
      <c r="AY40">
        <f t="shared" si="16"/>
        <v>0</v>
      </c>
      <c r="AZ40">
        <f t="shared" si="16"/>
        <v>0</v>
      </c>
      <c r="BA40">
        <f t="shared" si="16"/>
        <v>0</v>
      </c>
      <c r="BB40">
        <f t="shared" si="16"/>
        <v>0</v>
      </c>
      <c r="BC40">
        <f t="shared" si="16"/>
        <v>5</v>
      </c>
      <c r="BD40">
        <f t="shared" si="16"/>
        <v>0</v>
      </c>
      <c r="BE40">
        <f t="shared" si="16"/>
        <v>0</v>
      </c>
      <c r="BF40">
        <f t="shared" si="16"/>
        <v>0</v>
      </c>
      <c r="BG40">
        <f t="shared" si="16"/>
        <v>0</v>
      </c>
      <c r="BH40">
        <f t="shared" si="16"/>
        <v>0</v>
      </c>
      <c r="BI40">
        <f t="shared" si="16"/>
        <v>3</v>
      </c>
      <c r="BJ40">
        <f t="shared" si="16"/>
        <v>0</v>
      </c>
      <c r="BK40">
        <f t="shared" si="16"/>
        <v>0</v>
      </c>
      <c r="BL40">
        <f t="shared" si="16"/>
        <v>0</v>
      </c>
      <c r="BM40">
        <f t="shared" si="16"/>
        <v>0</v>
      </c>
      <c r="BN40">
        <f t="shared" si="16"/>
        <v>0</v>
      </c>
      <c r="BO40">
        <f t="shared" ref="BO40:BU40" si="17">BO32-(BO33+BO34+BO35+BO36+BO37+BO38)</f>
        <v>0</v>
      </c>
      <c r="BP40">
        <f t="shared" si="17"/>
        <v>0</v>
      </c>
      <c r="BQ40">
        <f t="shared" si="17"/>
        <v>0</v>
      </c>
      <c r="BR40">
        <f t="shared" si="17"/>
        <v>0</v>
      </c>
      <c r="BS40">
        <f t="shared" si="17"/>
        <v>0</v>
      </c>
      <c r="BT40">
        <f t="shared" si="17"/>
        <v>0</v>
      </c>
      <c r="BU40">
        <f t="shared" si="17"/>
        <v>0</v>
      </c>
    </row>
    <row r="41" spans="1:73" x14ac:dyDescent="0.25">
      <c r="A41" t="s">
        <v>146</v>
      </c>
      <c r="B41">
        <f>COUNTIF(B39, "&gt;2")</f>
        <v>0</v>
      </c>
      <c r="C41">
        <f t="shared" ref="C41:BN41" si="18">COUNTIF(C39, "&gt;2")</f>
        <v>0</v>
      </c>
      <c r="D41">
        <f t="shared" si="18"/>
        <v>0</v>
      </c>
      <c r="E41">
        <f t="shared" si="18"/>
        <v>0</v>
      </c>
      <c r="F41">
        <f t="shared" si="18"/>
        <v>0</v>
      </c>
      <c r="G41">
        <f t="shared" si="18"/>
        <v>0</v>
      </c>
      <c r="H41">
        <f t="shared" si="18"/>
        <v>1</v>
      </c>
      <c r="I41">
        <f t="shared" si="18"/>
        <v>0</v>
      </c>
      <c r="J41">
        <f t="shared" si="18"/>
        <v>0</v>
      </c>
      <c r="K41">
        <f t="shared" si="18"/>
        <v>0</v>
      </c>
      <c r="L41">
        <f t="shared" si="18"/>
        <v>0</v>
      </c>
      <c r="M41">
        <f t="shared" si="18"/>
        <v>0</v>
      </c>
      <c r="N41">
        <f t="shared" si="18"/>
        <v>0</v>
      </c>
      <c r="O41">
        <f t="shared" si="18"/>
        <v>0</v>
      </c>
      <c r="P41">
        <f t="shared" si="18"/>
        <v>1</v>
      </c>
      <c r="Q41">
        <f t="shared" si="18"/>
        <v>0</v>
      </c>
      <c r="R41">
        <f t="shared" si="18"/>
        <v>0</v>
      </c>
      <c r="S41">
        <f t="shared" si="18"/>
        <v>0</v>
      </c>
      <c r="T41">
        <f t="shared" si="18"/>
        <v>0</v>
      </c>
      <c r="U41">
        <f t="shared" si="18"/>
        <v>0</v>
      </c>
      <c r="V41">
        <f t="shared" si="18"/>
        <v>0</v>
      </c>
      <c r="W41">
        <f t="shared" si="18"/>
        <v>0</v>
      </c>
      <c r="X41">
        <f t="shared" si="18"/>
        <v>0</v>
      </c>
      <c r="Y41">
        <f t="shared" si="18"/>
        <v>0</v>
      </c>
      <c r="Z41">
        <f t="shared" si="18"/>
        <v>0</v>
      </c>
      <c r="AA41">
        <f t="shared" si="18"/>
        <v>1</v>
      </c>
      <c r="AB41">
        <f t="shared" si="18"/>
        <v>0</v>
      </c>
      <c r="AC41">
        <f t="shared" si="18"/>
        <v>0</v>
      </c>
      <c r="AD41">
        <f t="shared" si="18"/>
        <v>0</v>
      </c>
      <c r="AE41">
        <f t="shared" si="18"/>
        <v>0</v>
      </c>
      <c r="AF41">
        <f t="shared" si="18"/>
        <v>0</v>
      </c>
      <c r="AG41">
        <f t="shared" si="18"/>
        <v>0</v>
      </c>
      <c r="AH41">
        <f t="shared" si="18"/>
        <v>0</v>
      </c>
      <c r="AI41">
        <f t="shared" si="18"/>
        <v>0</v>
      </c>
      <c r="AJ41">
        <f t="shared" si="18"/>
        <v>0</v>
      </c>
      <c r="AK41">
        <f t="shared" si="18"/>
        <v>0</v>
      </c>
      <c r="AL41">
        <f t="shared" si="18"/>
        <v>0</v>
      </c>
      <c r="AM41">
        <f t="shared" si="18"/>
        <v>0</v>
      </c>
      <c r="AN41">
        <f t="shared" si="18"/>
        <v>0</v>
      </c>
      <c r="AO41">
        <f t="shared" si="18"/>
        <v>0</v>
      </c>
      <c r="AP41">
        <f t="shared" si="18"/>
        <v>0</v>
      </c>
      <c r="AQ41">
        <f t="shared" si="18"/>
        <v>0</v>
      </c>
      <c r="AR41">
        <f t="shared" si="18"/>
        <v>0</v>
      </c>
      <c r="AS41">
        <f t="shared" si="18"/>
        <v>0</v>
      </c>
      <c r="AT41">
        <f t="shared" si="18"/>
        <v>0</v>
      </c>
      <c r="AU41">
        <f t="shared" si="18"/>
        <v>0</v>
      </c>
      <c r="AV41">
        <f t="shared" si="18"/>
        <v>0</v>
      </c>
      <c r="AW41">
        <f t="shared" si="18"/>
        <v>0</v>
      </c>
      <c r="AX41">
        <f t="shared" si="18"/>
        <v>0</v>
      </c>
      <c r="AY41">
        <f t="shared" si="18"/>
        <v>0</v>
      </c>
      <c r="AZ41">
        <f t="shared" si="18"/>
        <v>0</v>
      </c>
      <c r="BA41">
        <f t="shared" si="18"/>
        <v>0</v>
      </c>
      <c r="BB41">
        <f t="shared" si="18"/>
        <v>0</v>
      </c>
      <c r="BC41">
        <f t="shared" si="18"/>
        <v>1</v>
      </c>
      <c r="BD41">
        <f t="shared" si="18"/>
        <v>0</v>
      </c>
      <c r="BE41">
        <f t="shared" si="18"/>
        <v>0</v>
      </c>
      <c r="BF41">
        <f t="shared" si="18"/>
        <v>0</v>
      </c>
      <c r="BG41">
        <f t="shared" si="18"/>
        <v>0</v>
      </c>
      <c r="BH41">
        <f t="shared" si="18"/>
        <v>0</v>
      </c>
      <c r="BI41">
        <f t="shared" si="18"/>
        <v>1</v>
      </c>
      <c r="BJ41">
        <f t="shared" si="18"/>
        <v>0</v>
      </c>
      <c r="BK41">
        <f t="shared" si="18"/>
        <v>0</v>
      </c>
      <c r="BL41">
        <f t="shared" si="18"/>
        <v>0</v>
      </c>
      <c r="BM41">
        <f t="shared" si="18"/>
        <v>0</v>
      </c>
      <c r="BN41">
        <f t="shared" si="18"/>
        <v>0</v>
      </c>
      <c r="BO41">
        <f t="shared" ref="BO41:BU41" si="19">COUNTIF(BO39, "&gt;2")</f>
        <v>0</v>
      </c>
      <c r="BP41">
        <f t="shared" si="19"/>
        <v>0</v>
      </c>
      <c r="BQ41">
        <f t="shared" si="19"/>
        <v>0</v>
      </c>
      <c r="BR41">
        <f t="shared" si="19"/>
        <v>0</v>
      </c>
      <c r="BS41">
        <f t="shared" si="19"/>
        <v>0</v>
      </c>
      <c r="BT41">
        <f t="shared" si="19"/>
        <v>0</v>
      </c>
      <c r="BU41">
        <f t="shared" si="19"/>
        <v>0</v>
      </c>
    </row>
    <row r="42" spans="1:73" x14ac:dyDescent="0.25">
      <c r="A42" t="s">
        <v>147</v>
      </c>
      <c r="B42">
        <f>COUNTIF(B40, "&gt;2")</f>
        <v>0</v>
      </c>
      <c r="C42">
        <f t="shared" ref="C42:BN42" si="20">COUNTIF(C40, "&gt;2")</f>
        <v>0</v>
      </c>
      <c r="D42">
        <f t="shared" si="20"/>
        <v>0</v>
      </c>
      <c r="E42">
        <f t="shared" si="20"/>
        <v>0</v>
      </c>
      <c r="F42">
        <f t="shared" si="20"/>
        <v>0</v>
      </c>
      <c r="G42">
        <f t="shared" si="20"/>
        <v>0</v>
      </c>
      <c r="H42">
        <f t="shared" si="20"/>
        <v>1</v>
      </c>
      <c r="I42">
        <f t="shared" si="20"/>
        <v>0</v>
      </c>
      <c r="J42">
        <f t="shared" si="20"/>
        <v>0</v>
      </c>
      <c r="K42">
        <f t="shared" si="20"/>
        <v>0</v>
      </c>
      <c r="L42">
        <f t="shared" si="20"/>
        <v>0</v>
      </c>
      <c r="M42">
        <f t="shared" si="20"/>
        <v>0</v>
      </c>
      <c r="N42">
        <f t="shared" si="20"/>
        <v>0</v>
      </c>
      <c r="O42">
        <f t="shared" si="20"/>
        <v>0</v>
      </c>
      <c r="P42">
        <f t="shared" si="20"/>
        <v>1</v>
      </c>
      <c r="Q42">
        <f t="shared" si="20"/>
        <v>0</v>
      </c>
      <c r="R42">
        <f t="shared" si="20"/>
        <v>0</v>
      </c>
      <c r="S42">
        <f t="shared" si="20"/>
        <v>0</v>
      </c>
      <c r="T42">
        <f t="shared" si="20"/>
        <v>0</v>
      </c>
      <c r="U42">
        <f t="shared" si="20"/>
        <v>0</v>
      </c>
      <c r="V42">
        <f t="shared" si="20"/>
        <v>0</v>
      </c>
      <c r="W42">
        <f t="shared" si="20"/>
        <v>0</v>
      </c>
      <c r="X42">
        <f t="shared" si="20"/>
        <v>0</v>
      </c>
      <c r="Y42">
        <f t="shared" si="20"/>
        <v>0</v>
      </c>
      <c r="Z42">
        <f t="shared" si="20"/>
        <v>0</v>
      </c>
      <c r="AA42">
        <f t="shared" si="20"/>
        <v>1</v>
      </c>
      <c r="AB42">
        <f t="shared" si="20"/>
        <v>0</v>
      </c>
      <c r="AC42">
        <f t="shared" si="20"/>
        <v>0</v>
      </c>
      <c r="AD42">
        <f t="shared" si="20"/>
        <v>0</v>
      </c>
      <c r="AE42">
        <f t="shared" si="20"/>
        <v>0</v>
      </c>
      <c r="AF42">
        <f t="shared" si="20"/>
        <v>0</v>
      </c>
      <c r="AG42">
        <f t="shared" si="20"/>
        <v>0</v>
      </c>
      <c r="AH42">
        <f t="shared" si="20"/>
        <v>0</v>
      </c>
      <c r="AI42">
        <f t="shared" si="20"/>
        <v>0</v>
      </c>
      <c r="AJ42">
        <f t="shared" si="20"/>
        <v>0</v>
      </c>
      <c r="AK42">
        <f t="shared" si="20"/>
        <v>0</v>
      </c>
      <c r="AL42">
        <f t="shared" si="20"/>
        <v>0</v>
      </c>
      <c r="AM42">
        <f t="shared" si="20"/>
        <v>0</v>
      </c>
      <c r="AN42">
        <f t="shared" si="20"/>
        <v>0</v>
      </c>
      <c r="AO42">
        <f t="shared" si="20"/>
        <v>0</v>
      </c>
      <c r="AP42">
        <f t="shared" si="20"/>
        <v>0</v>
      </c>
      <c r="AQ42">
        <f t="shared" si="20"/>
        <v>0</v>
      </c>
      <c r="AR42">
        <f t="shared" si="20"/>
        <v>0</v>
      </c>
      <c r="AS42">
        <f t="shared" si="20"/>
        <v>0</v>
      </c>
      <c r="AT42">
        <f t="shared" si="20"/>
        <v>0</v>
      </c>
      <c r="AU42">
        <f t="shared" si="20"/>
        <v>0</v>
      </c>
      <c r="AV42">
        <f t="shared" si="20"/>
        <v>0</v>
      </c>
      <c r="AW42">
        <f t="shared" si="20"/>
        <v>0</v>
      </c>
      <c r="AX42">
        <f t="shared" si="20"/>
        <v>0</v>
      </c>
      <c r="AY42">
        <f t="shared" si="20"/>
        <v>0</v>
      </c>
      <c r="AZ42">
        <f t="shared" si="20"/>
        <v>0</v>
      </c>
      <c r="BA42">
        <f t="shared" si="20"/>
        <v>0</v>
      </c>
      <c r="BB42">
        <f t="shared" si="20"/>
        <v>0</v>
      </c>
      <c r="BC42">
        <f t="shared" si="20"/>
        <v>1</v>
      </c>
      <c r="BD42">
        <f t="shared" si="20"/>
        <v>0</v>
      </c>
      <c r="BE42">
        <f t="shared" si="20"/>
        <v>0</v>
      </c>
      <c r="BF42">
        <f t="shared" si="20"/>
        <v>0</v>
      </c>
      <c r="BG42">
        <f t="shared" si="20"/>
        <v>0</v>
      </c>
      <c r="BH42">
        <f t="shared" si="20"/>
        <v>0</v>
      </c>
      <c r="BI42">
        <f t="shared" si="20"/>
        <v>1</v>
      </c>
      <c r="BJ42">
        <f t="shared" si="20"/>
        <v>0</v>
      </c>
      <c r="BK42">
        <f t="shared" si="20"/>
        <v>0</v>
      </c>
      <c r="BL42">
        <f t="shared" si="20"/>
        <v>0</v>
      </c>
      <c r="BM42">
        <f t="shared" si="20"/>
        <v>0</v>
      </c>
      <c r="BN42">
        <f t="shared" si="20"/>
        <v>0</v>
      </c>
      <c r="BO42">
        <f t="shared" ref="BO42:BU42" si="21">COUNTIF(BO40, "&gt;2")</f>
        <v>0</v>
      </c>
      <c r="BP42">
        <f t="shared" si="21"/>
        <v>0</v>
      </c>
      <c r="BQ42">
        <f t="shared" si="21"/>
        <v>0</v>
      </c>
      <c r="BR42">
        <f t="shared" si="21"/>
        <v>0</v>
      </c>
      <c r="BS42">
        <f t="shared" si="21"/>
        <v>0</v>
      </c>
      <c r="BT42">
        <f t="shared" si="21"/>
        <v>0</v>
      </c>
      <c r="BU42">
        <f t="shared" si="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0C664-7959-46E6-928E-57BD35612F76}">
  <dimension ref="A1:BT62"/>
  <sheetViews>
    <sheetView topLeftCell="A28" workbookViewId="0">
      <selection activeCell="E63" sqref="E63"/>
    </sheetView>
  </sheetViews>
  <sheetFormatPr defaultRowHeight="15" x14ac:dyDescent="0.25"/>
  <cols>
    <col min="1" max="1" width="15" style="2" bestFit="1" customWidth="1"/>
    <col min="2" max="2" width="4.42578125" style="1" bestFit="1" customWidth="1"/>
    <col min="3" max="4" width="5.28515625" style="1" bestFit="1" customWidth="1"/>
    <col min="5" max="5" width="4.42578125" style="1" bestFit="1" customWidth="1"/>
    <col min="6" max="6" width="5.28515625" style="1" bestFit="1" customWidth="1"/>
    <col min="7" max="8" width="4.42578125" style="1" bestFit="1" customWidth="1"/>
    <col min="9" max="9" width="4.7109375" style="1" bestFit="1" customWidth="1"/>
    <col min="10" max="10" width="5.28515625" style="1" bestFit="1" customWidth="1"/>
    <col min="11" max="11" width="3.5703125" style="1" bestFit="1" customWidth="1"/>
    <col min="12" max="12" width="4.5703125" style="1" bestFit="1" customWidth="1"/>
    <col min="13" max="15" width="4.42578125" style="1" bestFit="1" customWidth="1"/>
    <col min="16" max="16" width="4.5703125" style="1" bestFit="1" customWidth="1"/>
    <col min="17" max="17" width="4.28515625" style="1" bestFit="1" customWidth="1"/>
    <col min="18" max="18" width="4.42578125" style="1" bestFit="1" customWidth="1"/>
    <col min="19" max="20" width="4.5703125" style="1" bestFit="1" customWidth="1"/>
    <col min="21" max="22" width="4.42578125" style="1" bestFit="1" customWidth="1"/>
    <col min="23" max="25" width="5.28515625" style="1" bestFit="1" customWidth="1"/>
    <col min="26" max="26" width="4.42578125" style="1" bestFit="1" customWidth="1"/>
    <col min="27" max="27" width="4" style="1" bestFit="1" customWidth="1"/>
    <col min="28" max="29" width="5.28515625" style="1" bestFit="1" customWidth="1"/>
    <col min="30" max="32" width="4.42578125" style="1" bestFit="1" customWidth="1"/>
    <col min="33" max="34" width="5.28515625" style="1" bestFit="1" customWidth="1"/>
    <col min="35" max="35" width="6.140625" style="1" bestFit="1" customWidth="1"/>
    <col min="36" max="38" width="4.42578125" style="1" bestFit="1" customWidth="1"/>
    <col min="39" max="39" width="5.28515625" style="1" bestFit="1" customWidth="1"/>
    <col min="40" max="40" width="4.7109375" style="1" bestFit="1" customWidth="1"/>
    <col min="41" max="43" width="4.42578125" style="1" bestFit="1" customWidth="1"/>
    <col min="44" max="44" width="5.28515625" style="1" bestFit="1" customWidth="1"/>
    <col min="45" max="45" width="4.5703125" style="1" bestFit="1" customWidth="1"/>
    <col min="46" max="47" width="5.28515625" style="1" bestFit="1" customWidth="1"/>
    <col min="48" max="48" width="4.5703125" style="1" bestFit="1" customWidth="1"/>
    <col min="49" max="49" width="5.28515625" style="1" bestFit="1" customWidth="1"/>
    <col min="50" max="51" width="4.5703125" style="1" bestFit="1" customWidth="1"/>
    <col min="52" max="52" width="5.28515625" style="1" bestFit="1" customWidth="1"/>
    <col min="53" max="53" width="4.5703125" style="1" bestFit="1" customWidth="1"/>
    <col min="54" max="54" width="5.28515625" style="1" bestFit="1" customWidth="1"/>
    <col min="55" max="55" width="4.42578125" style="1" bestFit="1" customWidth="1"/>
    <col min="56" max="56" width="5" style="1" bestFit="1" customWidth="1"/>
    <col min="57" max="57" width="5.28515625" style="1" bestFit="1" customWidth="1"/>
    <col min="58" max="58" width="4.85546875" style="1" bestFit="1" customWidth="1"/>
    <col min="59" max="59" width="5.28515625" style="1" bestFit="1" customWidth="1"/>
    <col min="60" max="62" width="4.85546875" style="1" bestFit="1" customWidth="1"/>
    <col min="63" max="64" width="5.28515625" style="1" bestFit="1" customWidth="1"/>
    <col min="65" max="65" width="4.42578125" style="1" bestFit="1" customWidth="1"/>
    <col min="66" max="66" width="5.28515625" style="1" bestFit="1" customWidth="1"/>
    <col min="67" max="67" width="4.42578125" style="1" bestFit="1" customWidth="1"/>
    <col min="68" max="68" width="5.28515625" style="1" bestFit="1" customWidth="1"/>
    <col min="69" max="72" width="4.42578125" style="1" bestFit="1" customWidth="1"/>
  </cols>
  <sheetData>
    <row r="1" spans="1:72" s="4"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33</v>
      </c>
      <c r="AH1" s="2" t="s">
        <v>34</v>
      </c>
      <c r="AI1" s="2" t="s">
        <v>35</v>
      </c>
      <c r="AJ1" s="2" t="s">
        <v>36</v>
      </c>
      <c r="AK1" s="2" t="s">
        <v>37</v>
      </c>
      <c r="AL1" s="2" t="s">
        <v>38</v>
      </c>
      <c r="AM1" s="2" t="s">
        <v>39</v>
      </c>
      <c r="AN1" s="2" t="s">
        <v>40</v>
      </c>
      <c r="AO1" s="2" t="s">
        <v>41</v>
      </c>
      <c r="AP1" s="2" t="s">
        <v>42</v>
      </c>
      <c r="AQ1" s="2" t="s">
        <v>43</v>
      </c>
      <c r="AR1" s="2" t="s">
        <v>44</v>
      </c>
      <c r="AS1" s="2" t="s">
        <v>45</v>
      </c>
      <c r="AT1" s="2" t="s">
        <v>46</v>
      </c>
      <c r="AU1" s="2" t="s">
        <v>47</v>
      </c>
      <c r="AV1" s="2" t="s">
        <v>48</v>
      </c>
      <c r="AW1" s="2" t="s">
        <v>49</v>
      </c>
      <c r="AX1" s="2" t="s">
        <v>50</v>
      </c>
      <c r="AY1" s="2" t="s">
        <v>51</v>
      </c>
      <c r="AZ1" s="2" t="s">
        <v>52</v>
      </c>
      <c r="BA1" s="2" t="s">
        <v>53</v>
      </c>
      <c r="BB1" s="2" t="s">
        <v>54</v>
      </c>
      <c r="BC1" s="2" t="s">
        <v>55</v>
      </c>
      <c r="BD1" s="2" t="s">
        <v>56</v>
      </c>
      <c r="BE1" s="2" t="s">
        <v>57</v>
      </c>
      <c r="BF1" s="2" t="s">
        <v>58</v>
      </c>
      <c r="BG1" s="2" t="s">
        <v>59</v>
      </c>
      <c r="BH1" s="2" t="s">
        <v>60</v>
      </c>
      <c r="BI1" s="2" t="s">
        <v>61</v>
      </c>
      <c r="BJ1" s="2" t="s">
        <v>62</v>
      </c>
      <c r="BK1" s="2" t="s">
        <v>63</v>
      </c>
      <c r="BL1" s="2" t="s">
        <v>64</v>
      </c>
      <c r="BM1" s="2" t="s">
        <v>65</v>
      </c>
      <c r="BN1" s="2" t="s">
        <v>66</v>
      </c>
      <c r="BO1" s="2" t="s">
        <v>67</v>
      </c>
      <c r="BP1" s="2" t="s">
        <v>68</v>
      </c>
      <c r="BQ1" s="2" t="s">
        <v>69</v>
      </c>
      <c r="BR1" s="2" t="s">
        <v>70</v>
      </c>
      <c r="BS1" s="2" t="s">
        <v>71</v>
      </c>
      <c r="BT1" s="2" t="s">
        <v>72</v>
      </c>
    </row>
    <row r="2" spans="1:72" x14ac:dyDescent="0.25">
      <c r="A2" s="2" t="s">
        <v>74</v>
      </c>
      <c r="B2" s="1">
        <v>92</v>
      </c>
      <c r="C2" s="1">
        <v>6210</v>
      </c>
      <c r="D2" s="1">
        <v>20128</v>
      </c>
      <c r="E2" s="1">
        <v>2744</v>
      </c>
      <c r="F2" s="1">
        <v>6574</v>
      </c>
      <c r="G2" s="1">
        <v>2250</v>
      </c>
      <c r="H2" s="1">
        <v>100</v>
      </c>
      <c r="I2" s="1">
        <v>264</v>
      </c>
      <c r="J2" s="1">
        <v>8046</v>
      </c>
      <c r="K2" s="1">
        <v>822</v>
      </c>
      <c r="L2" s="1">
        <v>250</v>
      </c>
      <c r="M2" s="1">
        <v>726</v>
      </c>
      <c r="N2" s="1">
        <v>120</v>
      </c>
      <c r="O2" s="1">
        <v>1686</v>
      </c>
      <c r="P2" s="1">
        <v>120</v>
      </c>
      <c r="Q2" s="1">
        <v>66</v>
      </c>
      <c r="R2" s="1">
        <v>326</v>
      </c>
      <c r="S2" s="1">
        <v>98</v>
      </c>
      <c r="T2" s="1">
        <v>2366</v>
      </c>
      <c r="U2" s="1">
        <v>192</v>
      </c>
      <c r="V2" s="1">
        <v>1280</v>
      </c>
      <c r="W2" s="1">
        <v>3628</v>
      </c>
      <c r="X2" s="1">
        <v>136</v>
      </c>
      <c r="Y2" s="1">
        <v>280</v>
      </c>
      <c r="Z2" s="1">
        <v>146</v>
      </c>
      <c r="AA2" s="1">
        <v>192</v>
      </c>
      <c r="AB2" s="1">
        <v>1004</v>
      </c>
      <c r="AC2" s="1">
        <v>1106</v>
      </c>
      <c r="AD2" s="1">
        <v>50</v>
      </c>
      <c r="AE2" s="1">
        <v>42</v>
      </c>
      <c r="AF2" s="1">
        <v>3856</v>
      </c>
      <c r="AG2" s="1">
        <v>1066</v>
      </c>
      <c r="AH2" s="1">
        <v>450</v>
      </c>
      <c r="AI2" s="1">
        <v>450</v>
      </c>
      <c r="AJ2" s="1">
        <v>80</v>
      </c>
      <c r="AK2" s="1">
        <v>74</v>
      </c>
      <c r="AL2" s="1">
        <v>32</v>
      </c>
      <c r="AM2" s="1">
        <v>254</v>
      </c>
      <c r="AN2" s="1">
        <v>48</v>
      </c>
      <c r="AO2" s="1">
        <v>84</v>
      </c>
      <c r="AP2" s="1">
        <v>52</v>
      </c>
      <c r="AQ2" s="1">
        <v>16</v>
      </c>
      <c r="AR2" s="1">
        <v>808</v>
      </c>
      <c r="AS2" s="1">
        <v>4280</v>
      </c>
      <c r="AT2" s="1">
        <v>3626</v>
      </c>
      <c r="AU2" s="1">
        <v>17534</v>
      </c>
      <c r="AV2" s="1">
        <v>902</v>
      </c>
      <c r="AW2" s="1">
        <v>12152</v>
      </c>
      <c r="AX2" s="1">
        <v>654</v>
      </c>
      <c r="AY2" s="1">
        <v>16</v>
      </c>
      <c r="AZ2" s="1">
        <v>20058</v>
      </c>
      <c r="BA2" s="1">
        <v>492</v>
      </c>
      <c r="BB2" s="1">
        <v>950</v>
      </c>
      <c r="BC2" s="1">
        <v>892</v>
      </c>
      <c r="BD2" s="1">
        <v>1276</v>
      </c>
      <c r="BE2" s="1">
        <v>13142</v>
      </c>
      <c r="BF2" s="1">
        <v>2690</v>
      </c>
      <c r="BG2" s="1">
        <v>606</v>
      </c>
      <c r="BH2" s="1">
        <v>260</v>
      </c>
      <c r="BI2" s="1">
        <v>544</v>
      </c>
      <c r="BJ2" s="1">
        <v>336</v>
      </c>
      <c r="BK2" s="1">
        <v>28882</v>
      </c>
      <c r="BL2" s="1">
        <v>7556</v>
      </c>
      <c r="BM2" s="1">
        <v>2174</v>
      </c>
      <c r="BN2" s="1">
        <v>16628</v>
      </c>
      <c r="BO2" s="1">
        <v>186</v>
      </c>
      <c r="BP2" s="1">
        <v>2168</v>
      </c>
      <c r="BQ2" s="1">
        <v>2652</v>
      </c>
      <c r="BR2" s="1">
        <v>420</v>
      </c>
      <c r="BS2" s="1">
        <v>1574</v>
      </c>
      <c r="BT2" s="1">
        <v>170</v>
      </c>
    </row>
    <row r="3" spans="1:72" x14ac:dyDescent="0.25">
      <c r="A3" s="2" t="s">
        <v>75</v>
      </c>
      <c r="B3" s="1">
        <v>596</v>
      </c>
      <c r="C3" s="1">
        <v>12856</v>
      </c>
      <c r="D3" s="1">
        <v>7740</v>
      </c>
      <c r="E3" s="1">
        <v>2532</v>
      </c>
      <c r="F3" s="1">
        <v>11322</v>
      </c>
      <c r="G3" s="1">
        <v>1644</v>
      </c>
      <c r="H3" s="1">
        <v>1460</v>
      </c>
      <c r="I3" s="1">
        <v>3254</v>
      </c>
      <c r="J3" s="1">
        <v>2746</v>
      </c>
      <c r="K3" s="1">
        <v>96</v>
      </c>
      <c r="L3" s="1">
        <v>2828</v>
      </c>
      <c r="M3" s="1">
        <v>1520</v>
      </c>
      <c r="N3" s="1">
        <v>2840</v>
      </c>
      <c r="O3" s="1">
        <v>1664</v>
      </c>
      <c r="P3" s="1">
        <v>3772</v>
      </c>
      <c r="Q3" s="1">
        <v>512</v>
      </c>
      <c r="R3" s="1">
        <v>2542</v>
      </c>
      <c r="S3" s="1">
        <v>418</v>
      </c>
      <c r="T3" s="1">
        <v>2188</v>
      </c>
      <c r="U3" s="1">
        <v>768</v>
      </c>
      <c r="V3" s="1">
        <v>1794</v>
      </c>
      <c r="W3" s="1">
        <v>2240</v>
      </c>
      <c r="X3" s="1">
        <v>1718</v>
      </c>
      <c r="Y3" s="1">
        <v>10160</v>
      </c>
      <c r="Z3" s="1">
        <v>5510</v>
      </c>
      <c r="AA3" s="1">
        <v>602</v>
      </c>
      <c r="AB3" s="1">
        <v>22064</v>
      </c>
      <c r="AC3" s="1">
        <v>25428</v>
      </c>
      <c r="AD3" s="1">
        <v>2982</v>
      </c>
      <c r="AE3" s="1">
        <v>840</v>
      </c>
      <c r="AF3" s="1">
        <v>648</v>
      </c>
      <c r="AG3" s="1">
        <v>16746</v>
      </c>
      <c r="AH3" s="1">
        <v>19518</v>
      </c>
      <c r="AI3" s="1">
        <v>107708</v>
      </c>
      <c r="AJ3" s="1">
        <v>3468</v>
      </c>
      <c r="AK3" s="1">
        <v>988</v>
      </c>
      <c r="AL3" s="1">
        <v>1914</v>
      </c>
      <c r="AM3" s="1">
        <v>4762</v>
      </c>
      <c r="AN3" s="1">
        <v>2890</v>
      </c>
      <c r="AO3" s="1">
        <v>1856</v>
      </c>
      <c r="AP3" s="1">
        <v>1732</v>
      </c>
      <c r="AQ3" s="1">
        <v>7424</v>
      </c>
      <c r="AR3" s="1">
        <v>54168</v>
      </c>
      <c r="AS3" s="1">
        <v>964</v>
      </c>
      <c r="AT3" s="1">
        <v>1522</v>
      </c>
      <c r="AU3" s="1">
        <v>1836</v>
      </c>
      <c r="AV3" s="1">
        <v>262</v>
      </c>
      <c r="AW3" s="1">
        <v>880</v>
      </c>
      <c r="AX3" s="1">
        <v>156</v>
      </c>
      <c r="AY3" s="1">
        <v>62</v>
      </c>
      <c r="AZ3" s="1">
        <v>732</v>
      </c>
      <c r="BA3" s="1">
        <v>112</v>
      </c>
      <c r="BB3" s="1">
        <v>1046</v>
      </c>
      <c r="BC3" s="1">
        <v>498</v>
      </c>
      <c r="BD3" s="1">
        <v>1480</v>
      </c>
      <c r="BE3" s="1">
        <v>1822</v>
      </c>
      <c r="BF3" s="1">
        <v>860</v>
      </c>
      <c r="BG3" s="1">
        <v>1036</v>
      </c>
      <c r="BH3" s="1">
        <v>4112</v>
      </c>
      <c r="BI3" s="1">
        <v>238</v>
      </c>
      <c r="BJ3" s="1">
        <v>98</v>
      </c>
      <c r="BK3" s="1">
        <v>944</v>
      </c>
      <c r="BL3" s="1">
        <v>660</v>
      </c>
      <c r="BM3" s="1">
        <v>584</v>
      </c>
      <c r="BN3" s="1">
        <v>2146</v>
      </c>
      <c r="BO3" s="1">
        <v>444</v>
      </c>
      <c r="BP3" s="1">
        <v>2406</v>
      </c>
      <c r="BQ3" s="1">
        <v>554</v>
      </c>
      <c r="BR3" s="1">
        <v>292</v>
      </c>
      <c r="BS3" s="1">
        <v>2508</v>
      </c>
      <c r="BT3" s="1">
        <v>2026</v>
      </c>
    </row>
    <row r="4" spans="1:72" x14ac:dyDescent="0.25">
      <c r="A4" s="2" t="s">
        <v>76</v>
      </c>
      <c r="B4" s="1">
        <v>196</v>
      </c>
      <c r="C4" s="1">
        <v>7586</v>
      </c>
      <c r="D4" s="1">
        <v>17426</v>
      </c>
      <c r="E4" s="1">
        <v>2900</v>
      </c>
      <c r="F4" s="1">
        <v>7190</v>
      </c>
      <c r="G4" s="1">
        <v>3434</v>
      </c>
      <c r="H4" s="1">
        <v>252</v>
      </c>
      <c r="I4" s="1">
        <v>352</v>
      </c>
      <c r="J4" s="1">
        <v>7578</v>
      </c>
      <c r="K4" s="1">
        <v>516</v>
      </c>
      <c r="L4" s="1">
        <v>846</v>
      </c>
      <c r="M4" s="1">
        <v>1190</v>
      </c>
      <c r="N4" s="1">
        <v>566</v>
      </c>
      <c r="O4" s="1">
        <v>1132</v>
      </c>
      <c r="P4" s="1">
        <v>518</v>
      </c>
      <c r="Q4" s="1">
        <v>124</v>
      </c>
      <c r="R4" s="1">
        <v>614</v>
      </c>
      <c r="S4" s="1">
        <v>158</v>
      </c>
      <c r="T4" s="1">
        <v>2896</v>
      </c>
      <c r="U4" s="1">
        <v>334</v>
      </c>
      <c r="V4" s="1">
        <v>1454</v>
      </c>
      <c r="W4" s="1">
        <v>2790</v>
      </c>
      <c r="X4" s="1">
        <v>286</v>
      </c>
      <c r="Y4" s="1">
        <v>1618</v>
      </c>
      <c r="Z4" s="1">
        <v>814</v>
      </c>
      <c r="AA4" s="1">
        <v>118</v>
      </c>
      <c r="AB4" s="1">
        <v>7718</v>
      </c>
      <c r="AC4" s="1">
        <v>8168</v>
      </c>
      <c r="AD4" s="1">
        <v>222</v>
      </c>
      <c r="AE4" s="1">
        <v>140</v>
      </c>
      <c r="AF4" s="1">
        <v>638</v>
      </c>
      <c r="AG4" s="1">
        <v>4874</v>
      </c>
      <c r="AH4" s="1">
        <v>3630</v>
      </c>
      <c r="AI4" s="1">
        <v>9676</v>
      </c>
      <c r="AJ4" s="1">
        <v>1008</v>
      </c>
      <c r="AK4" s="1">
        <v>358</v>
      </c>
      <c r="AL4" s="1">
        <v>404</v>
      </c>
      <c r="AM4" s="1">
        <v>194</v>
      </c>
      <c r="AN4" s="1">
        <v>124</v>
      </c>
      <c r="AO4" s="1">
        <v>432</v>
      </c>
      <c r="AP4" s="1">
        <v>368</v>
      </c>
      <c r="AQ4" s="1">
        <v>124</v>
      </c>
      <c r="AR4" s="1">
        <v>13194</v>
      </c>
      <c r="AS4" s="1">
        <v>5160</v>
      </c>
      <c r="AT4" s="1">
        <v>4958</v>
      </c>
      <c r="AU4" s="1">
        <v>22044</v>
      </c>
      <c r="AV4" s="1">
        <v>336</v>
      </c>
      <c r="AW4" s="1">
        <v>15396</v>
      </c>
      <c r="AX4" s="1">
        <v>482</v>
      </c>
      <c r="AY4" s="1">
        <v>22</v>
      </c>
      <c r="AZ4" s="1">
        <v>3212</v>
      </c>
      <c r="BA4" s="1">
        <v>346</v>
      </c>
      <c r="BB4" s="1">
        <v>1404</v>
      </c>
      <c r="BC4" s="1">
        <v>890</v>
      </c>
      <c r="BD4" s="1">
        <v>1104</v>
      </c>
      <c r="BE4" s="1">
        <v>7376</v>
      </c>
      <c r="BF4" s="1">
        <v>1700</v>
      </c>
      <c r="BG4" s="1">
        <v>688</v>
      </c>
      <c r="BH4" s="1">
        <v>1044</v>
      </c>
      <c r="BI4" s="1">
        <v>618</v>
      </c>
      <c r="BJ4" s="1">
        <v>788</v>
      </c>
      <c r="BK4" s="1">
        <v>15112</v>
      </c>
      <c r="BL4" s="1">
        <v>11082</v>
      </c>
      <c r="BM4" s="1">
        <v>1740</v>
      </c>
      <c r="BN4" s="1">
        <v>24932</v>
      </c>
      <c r="BO4" s="1">
        <v>204</v>
      </c>
      <c r="BP4" s="1">
        <v>1974</v>
      </c>
      <c r="BQ4" s="1">
        <v>2956</v>
      </c>
      <c r="BR4" s="1">
        <v>702</v>
      </c>
      <c r="BS4" s="1">
        <v>862</v>
      </c>
      <c r="BT4" s="1">
        <v>284</v>
      </c>
    </row>
    <row r="5" spans="1:72" x14ac:dyDescent="0.25">
      <c r="A5" s="2" t="s">
        <v>77</v>
      </c>
      <c r="B5" s="1">
        <v>54</v>
      </c>
      <c r="C5" s="1">
        <v>182</v>
      </c>
      <c r="D5" s="1">
        <v>284</v>
      </c>
      <c r="E5" s="1">
        <v>54</v>
      </c>
      <c r="F5" s="1">
        <v>80</v>
      </c>
      <c r="G5" s="1">
        <v>44</v>
      </c>
      <c r="H5" s="1">
        <v>28</v>
      </c>
      <c r="I5" s="1">
        <v>40</v>
      </c>
      <c r="J5" s="1">
        <v>56</v>
      </c>
      <c r="K5" s="1">
        <v>4</v>
      </c>
      <c r="L5" s="1">
        <v>176</v>
      </c>
      <c r="M5" s="1">
        <v>160</v>
      </c>
      <c r="N5" s="1">
        <v>386</v>
      </c>
      <c r="O5" s="1">
        <v>142</v>
      </c>
      <c r="P5" s="1">
        <v>184</v>
      </c>
      <c r="Q5" s="1">
        <v>38</v>
      </c>
      <c r="R5" s="1">
        <v>134</v>
      </c>
      <c r="S5" s="1">
        <v>4</v>
      </c>
      <c r="T5" s="1">
        <v>248</v>
      </c>
      <c r="U5" s="1">
        <v>28</v>
      </c>
      <c r="V5" s="1">
        <v>64</v>
      </c>
      <c r="W5" s="1">
        <v>42</v>
      </c>
      <c r="X5" s="1">
        <v>248</v>
      </c>
      <c r="Y5" s="1">
        <v>114</v>
      </c>
      <c r="Z5" s="1">
        <v>6</v>
      </c>
      <c r="AA5" s="1">
        <v>0</v>
      </c>
      <c r="AB5" s="1">
        <v>466</v>
      </c>
      <c r="AC5" s="1">
        <v>508</v>
      </c>
      <c r="AD5" s="1">
        <v>8</v>
      </c>
      <c r="AE5" s="1">
        <v>16</v>
      </c>
      <c r="AF5" s="1">
        <v>0</v>
      </c>
      <c r="AG5" s="1">
        <v>160</v>
      </c>
      <c r="AH5" s="1">
        <v>288</v>
      </c>
      <c r="AI5" s="1">
        <v>134</v>
      </c>
      <c r="AJ5" s="1">
        <v>4</v>
      </c>
      <c r="AK5" s="1">
        <v>38</v>
      </c>
      <c r="AL5" s="1">
        <v>48</v>
      </c>
      <c r="AM5" s="1">
        <v>2</v>
      </c>
      <c r="AN5" s="1">
        <v>24</v>
      </c>
      <c r="AO5" s="1">
        <v>74</v>
      </c>
      <c r="AP5" s="1">
        <v>46</v>
      </c>
      <c r="AQ5" s="1">
        <v>54</v>
      </c>
      <c r="AR5" s="1">
        <v>124</v>
      </c>
      <c r="AS5" s="1">
        <v>10</v>
      </c>
      <c r="AT5" s="1">
        <v>24</v>
      </c>
      <c r="AU5" s="1">
        <v>162</v>
      </c>
      <c r="AV5" s="1">
        <v>28</v>
      </c>
      <c r="AW5" s="1">
        <v>12</v>
      </c>
      <c r="AX5" s="1">
        <v>70</v>
      </c>
      <c r="AY5" s="1">
        <v>0</v>
      </c>
      <c r="AZ5" s="1">
        <v>0</v>
      </c>
      <c r="BA5" s="1">
        <v>0</v>
      </c>
      <c r="BB5" s="1">
        <v>134</v>
      </c>
      <c r="BC5" s="1">
        <v>316</v>
      </c>
      <c r="BD5" s="1">
        <v>234</v>
      </c>
      <c r="BE5" s="1">
        <v>332</v>
      </c>
      <c r="BF5" s="1">
        <v>34</v>
      </c>
      <c r="BG5" s="1">
        <v>276</v>
      </c>
      <c r="BH5" s="1">
        <v>36</v>
      </c>
      <c r="BI5" s="1">
        <v>2</v>
      </c>
      <c r="BJ5" s="1">
        <v>0</v>
      </c>
      <c r="BK5" s="1">
        <v>6</v>
      </c>
      <c r="BL5" s="1">
        <v>30</v>
      </c>
      <c r="BM5" s="1">
        <v>30</v>
      </c>
      <c r="BN5" s="1">
        <v>1916</v>
      </c>
      <c r="BO5" s="1">
        <v>98</v>
      </c>
      <c r="BP5" s="1">
        <v>110</v>
      </c>
      <c r="BQ5" s="1">
        <v>30</v>
      </c>
      <c r="BR5" s="1">
        <v>316</v>
      </c>
      <c r="BS5" s="1">
        <v>48</v>
      </c>
      <c r="BT5" s="1">
        <v>92</v>
      </c>
    </row>
    <row r="6" spans="1:72" x14ac:dyDescent="0.25">
      <c r="A6" s="2" t="s">
        <v>78</v>
      </c>
      <c r="B6" s="1">
        <v>460</v>
      </c>
      <c r="C6" s="1">
        <v>318</v>
      </c>
      <c r="D6" s="1">
        <v>262</v>
      </c>
      <c r="E6" s="1">
        <v>80</v>
      </c>
      <c r="F6" s="1">
        <v>102</v>
      </c>
      <c r="G6" s="1">
        <v>98</v>
      </c>
      <c r="H6" s="1">
        <v>62</v>
      </c>
      <c r="I6" s="1">
        <v>10</v>
      </c>
      <c r="J6" s="1">
        <v>820</v>
      </c>
      <c r="K6" s="1">
        <v>0</v>
      </c>
      <c r="L6" s="1">
        <v>196</v>
      </c>
      <c r="M6" s="1">
        <v>172</v>
      </c>
      <c r="N6" s="1">
        <v>612</v>
      </c>
      <c r="O6" s="1">
        <v>56</v>
      </c>
      <c r="P6" s="1">
        <v>120</v>
      </c>
      <c r="Q6" s="1">
        <v>42</v>
      </c>
      <c r="R6" s="1">
        <v>252</v>
      </c>
      <c r="S6" s="1">
        <v>0</v>
      </c>
      <c r="T6" s="1">
        <v>284</v>
      </c>
      <c r="U6" s="1">
        <v>50</v>
      </c>
      <c r="V6" s="1">
        <v>56</v>
      </c>
      <c r="W6" s="1">
        <v>100</v>
      </c>
      <c r="X6" s="1">
        <v>318</v>
      </c>
      <c r="Y6" s="1">
        <v>118</v>
      </c>
      <c r="Z6" s="1">
        <v>76</v>
      </c>
      <c r="AA6" s="1">
        <v>0</v>
      </c>
      <c r="AB6" s="1">
        <v>964</v>
      </c>
      <c r="AC6" s="1">
        <v>854</v>
      </c>
      <c r="AD6" s="1">
        <v>18</v>
      </c>
      <c r="AE6" s="1">
        <v>0</v>
      </c>
      <c r="AF6" s="1">
        <v>0</v>
      </c>
      <c r="AG6" s="1">
        <v>350</v>
      </c>
      <c r="AH6" s="1">
        <v>274</v>
      </c>
      <c r="AI6" s="1">
        <v>450</v>
      </c>
      <c r="AJ6" s="1">
        <v>10</v>
      </c>
      <c r="AK6" s="1">
        <v>56</v>
      </c>
      <c r="AL6" s="1">
        <v>12</v>
      </c>
      <c r="AM6" s="1">
        <v>0</v>
      </c>
      <c r="AN6" s="1">
        <v>0</v>
      </c>
      <c r="AO6" s="1">
        <v>36</v>
      </c>
      <c r="AP6" s="1">
        <v>20</v>
      </c>
      <c r="AQ6" s="1">
        <v>16</v>
      </c>
      <c r="AR6" s="1">
        <v>312</v>
      </c>
      <c r="AS6" s="1">
        <v>64</v>
      </c>
      <c r="AT6" s="1">
        <v>32</v>
      </c>
      <c r="AU6" s="1">
        <v>780</v>
      </c>
      <c r="AV6" s="1">
        <v>60</v>
      </c>
      <c r="AW6" s="1">
        <v>90</v>
      </c>
      <c r="AX6" s="1">
        <v>0</v>
      </c>
      <c r="AY6" s="1">
        <v>2</v>
      </c>
      <c r="AZ6" s="1">
        <v>42</v>
      </c>
      <c r="BA6" s="1">
        <v>28</v>
      </c>
      <c r="BB6" s="1">
        <v>170</v>
      </c>
      <c r="BC6" s="1">
        <v>438</v>
      </c>
      <c r="BD6" s="1">
        <v>290</v>
      </c>
      <c r="BE6" s="1">
        <v>440</v>
      </c>
      <c r="BF6" s="1">
        <v>40</v>
      </c>
      <c r="BG6" s="1">
        <v>256</v>
      </c>
      <c r="BH6" s="1">
        <v>44</v>
      </c>
      <c r="BI6" s="1">
        <v>64</v>
      </c>
      <c r="BJ6" s="1">
        <v>0</v>
      </c>
      <c r="BK6" s="1">
        <v>52</v>
      </c>
      <c r="BL6" s="1">
        <v>122</v>
      </c>
      <c r="BM6" s="1">
        <v>146</v>
      </c>
      <c r="BN6" s="1">
        <v>54</v>
      </c>
      <c r="BO6" s="1">
        <v>100</v>
      </c>
      <c r="BP6" s="1">
        <v>160</v>
      </c>
      <c r="BQ6" s="1">
        <v>6</v>
      </c>
      <c r="BR6" s="1">
        <v>554</v>
      </c>
      <c r="BS6" s="1">
        <v>16</v>
      </c>
      <c r="BT6" s="1">
        <v>72</v>
      </c>
    </row>
    <row r="7" spans="1:72" x14ac:dyDescent="0.25">
      <c r="A7" s="2" t="s">
        <v>79</v>
      </c>
      <c r="B7" s="1">
        <v>542</v>
      </c>
      <c r="C7" s="1">
        <v>308</v>
      </c>
      <c r="D7" s="1">
        <v>600</v>
      </c>
      <c r="E7" s="1">
        <v>40</v>
      </c>
      <c r="F7" s="1">
        <v>224</v>
      </c>
      <c r="G7" s="1">
        <v>80</v>
      </c>
      <c r="H7" s="1">
        <v>140</v>
      </c>
      <c r="I7" s="1">
        <v>10</v>
      </c>
      <c r="J7" s="1">
        <v>192</v>
      </c>
      <c r="K7" s="1">
        <v>0</v>
      </c>
      <c r="L7" s="1">
        <v>110</v>
      </c>
      <c r="M7" s="1">
        <v>142</v>
      </c>
      <c r="N7" s="1">
        <v>474</v>
      </c>
      <c r="O7" s="1">
        <v>2</v>
      </c>
      <c r="P7" s="1">
        <v>222</v>
      </c>
      <c r="Q7" s="1">
        <v>12</v>
      </c>
      <c r="R7" s="1">
        <v>182</v>
      </c>
      <c r="S7" s="1">
        <v>80</v>
      </c>
      <c r="T7" s="1">
        <v>320</v>
      </c>
      <c r="U7" s="1">
        <v>36</v>
      </c>
      <c r="V7" s="1">
        <v>40</v>
      </c>
      <c r="W7" s="1">
        <v>100</v>
      </c>
      <c r="X7" s="1">
        <v>376</v>
      </c>
      <c r="Y7" s="1">
        <v>152</v>
      </c>
      <c r="Z7" s="1">
        <v>36</v>
      </c>
      <c r="AA7" s="1">
        <v>20</v>
      </c>
      <c r="AB7" s="1">
        <v>716</v>
      </c>
      <c r="AC7" s="1">
        <v>752</v>
      </c>
      <c r="AD7" s="1">
        <v>34</v>
      </c>
      <c r="AE7" s="1">
        <v>0</v>
      </c>
      <c r="AF7" s="1">
        <v>30</v>
      </c>
      <c r="AG7" s="1">
        <v>510</v>
      </c>
      <c r="AH7" s="1">
        <v>76</v>
      </c>
      <c r="AI7" s="1">
        <v>326</v>
      </c>
      <c r="AJ7" s="1">
        <v>0</v>
      </c>
      <c r="AK7" s="1">
        <v>40</v>
      </c>
      <c r="AL7" s="1">
        <v>0</v>
      </c>
      <c r="AM7" s="1">
        <v>10</v>
      </c>
      <c r="AN7" s="1">
        <v>0</v>
      </c>
      <c r="AO7" s="1">
        <v>6</v>
      </c>
      <c r="AP7" s="1">
        <v>30</v>
      </c>
      <c r="AQ7" s="1">
        <v>4</v>
      </c>
      <c r="AR7" s="1">
        <v>184</v>
      </c>
      <c r="AS7" s="1">
        <v>52</v>
      </c>
      <c r="AT7" s="1">
        <v>96</v>
      </c>
      <c r="AU7" s="1">
        <v>946</v>
      </c>
      <c r="AV7" s="1">
        <v>90</v>
      </c>
      <c r="AW7" s="1">
        <v>76</v>
      </c>
      <c r="AX7" s="1">
        <v>84</v>
      </c>
      <c r="AY7" s="1">
        <v>0</v>
      </c>
      <c r="AZ7" s="1">
        <v>0</v>
      </c>
      <c r="BA7" s="1">
        <v>0</v>
      </c>
      <c r="BB7" s="1">
        <v>74</v>
      </c>
      <c r="BC7" s="1">
        <v>524</v>
      </c>
      <c r="BD7" s="1">
        <v>610</v>
      </c>
      <c r="BE7" s="1">
        <v>488</v>
      </c>
      <c r="BF7" s="1">
        <v>148</v>
      </c>
      <c r="BG7" s="1">
        <v>310</v>
      </c>
      <c r="BH7" s="1">
        <v>86</v>
      </c>
      <c r="BI7" s="1">
        <v>56</v>
      </c>
      <c r="BJ7" s="1">
        <v>0</v>
      </c>
      <c r="BK7" s="1">
        <v>48</v>
      </c>
      <c r="BL7" s="1">
        <v>36</v>
      </c>
      <c r="BM7" s="1">
        <v>132</v>
      </c>
      <c r="BN7" s="1">
        <v>38</v>
      </c>
      <c r="BO7" s="1">
        <v>50</v>
      </c>
      <c r="BP7" s="1">
        <v>304</v>
      </c>
      <c r="BQ7" s="1">
        <v>50</v>
      </c>
      <c r="BR7" s="1">
        <v>272</v>
      </c>
      <c r="BS7" s="1">
        <v>46</v>
      </c>
      <c r="BT7" s="1">
        <v>72</v>
      </c>
    </row>
    <row r="8" spans="1:72" x14ac:dyDescent="0.25">
      <c r="A8" s="2" t="s">
        <v>80</v>
      </c>
      <c r="B8" s="1">
        <v>128</v>
      </c>
      <c r="C8" s="1">
        <v>146</v>
      </c>
      <c r="D8" s="1">
        <v>268</v>
      </c>
      <c r="E8" s="1">
        <v>74</v>
      </c>
      <c r="F8" s="1">
        <v>40</v>
      </c>
      <c r="G8" s="1">
        <v>36</v>
      </c>
      <c r="H8" s="1">
        <v>92</v>
      </c>
      <c r="I8" s="1">
        <v>68</v>
      </c>
      <c r="J8" s="1">
        <v>30</v>
      </c>
      <c r="K8" s="1">
        <v>4</v>
      </c>
      <c r="L8" s="1">
        <v>94</v>
      </c>
      <c r="M8" s="1">
        <v>160</v>
      </c>
      <c r="N8" s="1">
        <v>314</v>
      </c>
      <c r="O8" s="1">
        <v>20</v>
      </c>
      <c r="P8" s="1">
        <v>100</v>
      </c>
      <c r="Q8" s="1">
        <v>0</v>
      </c>
      <c r="R8" s="1">
        <v>340</v>
      </c>
      <c r="S8" s="1">
        <v>62</v>
      </c>
      <c r="T8" s="1">
        <v>262</v>
      </c>
      <c r="U8" s="1">
        <v>84</v>
      </c>
      <c r="V8" s="1">
        <v>68</v>
      </c>
      <c r="W8" s="1">
        <v>50</v>
      </c>
      <c r="X8" s="1">
        <v>168</v>
      </c>
      <c r="Y8" s="1">
        <v>12</v>
      </c>
      <c r="Z8" s="1">
        <v>42</v>
      </c>
      <c r="AA8" s="1">
        <v>2</v>
      </c>
      <c r="AB8" s="1">
        <v>420</v>
      </c>
      <c r="AC8" s="1">
        <v>318</v>
      </c>
      <c r="AD8" s="1">
        <v>20</v>
      </c>
      <c r="AE8" s="1">
        <v>12</v>
      </c>
      <c r="AF8" s="1">
        <v>0</v>
      </c>
      <c r="AG8" s="1">
        <v>68</v>
      </c>
      <c r="AH8" s="1">
        <v>142</v>
      </c>
      <c r="AI8" s="1">
        <v>268</v>
      </c>
      <c r="AJ8" s="1">
        <v>44</v>
      </c>
      <c r="AK8" s="1">
        <v>12</v>
      </c>
      <c r="AL8" s="1">
        <v>42</v>
      </c>
      <c r="AM8" s="1">
        <v>2</v>
      </c>
      <c r="AN8" s="1">
        <v>6</v>
      </c>
      <c r="AO8" s="1">
        <v>10</v>
      </c>
      <c r="AP8" s="1">
        <v>12</v>
      </c>
      <c r="AQ8" s="1">
        <v>24</v>
      </c>
      <c r="AR8" s="1">
        <v>162</v>
      </c>
      <c r="AS8" s="1">
        <v>30</v>
      </c>
      <c r="AT8" s="1">
        <v>4</v>
      </c>
      <c r="AU8" s="1">
        <v>190</v>
      </c>
      <c r="AV8" s="1">
        <v>16</v>
      </c>
      <c r="AW8" s="1">
        <v>12</v>
      </c>
      <c r="AX8" s="1">
        <v>30</v>
      </c>
      <c r="AY8" s="1">
        <v>2</v>
      </c>
      <c r="AZ8" s="1">
        <v>40</v>
      </c>
      <c r="BA8" s="1">
        <v>10</v>
      </c>
      <c r="BB8" s="1">
        <v>172</v>
      </c>
      <c r="BC8" s="1">
        <v>326</v>
      </c>
      <c r="BD8" s="1">
        <v>196</v>
      </c>
      <c r="BE8" s="1">
        <v>404</v>
      </c>
      <c r="BF8" s="1">
        <v>116</v>
      </c>
      <c r="BG8" s="1">
        <v>144</v>
      </c>
      <c r="BH8" s="1">
        <v>40</v>
      </c>
      <c r="BI8" s="1">
        <v>46</v>
      </c>
      <c r="BJ8" s="1">
        <v>2</v>
      </c>
      <c r="BK8" s="1">
        <v>22</v>
      </c>
      <c r="BL8" s="1">
        <v>42</v>
      </c>
      <c r="BM8" s="1">
        <v>30</v>
      </c>
      <c r="BN8" s="1">
        <v>20</v>
      </c>
      <c r="BO8" s="1">
        <v>60</v>
      </c>
      <c r="BP8" s="1">
        <v>108</v>
      </c>
      <c r="BQ8" s="1">
        <v>34</v>
      </c>
      <c r="BR8" s="1">
        <v>242</v>
      </c>
      <c r="BS8" s="1">
        <v>72</v>
      </c>
      <c r="BT8" s="1">
        <v>86</v>
      </c>
    </row>
    <row r="9" spans="1:72" x14ac:dyDescent="0.25">
      <c r="A9" s="2" t="s">
        <v>81</v>
      </c>
      <c r="B9" s="1">
        <v>166</v>
      </c>
      <c r="C9" s="1">
        <v>282</v>
      </c>
      <c r="D9" s="1">
        <v>380</v>
      </c>
      <c r="E9" s="1">
        <v>72</v>
      </c>
      <c r="F9" s="1">
        <v>8</v>
      </c>
      <c r="G9" s="1">
        <v>62</v>
      </c>
      <c r="H9" s="1">
        <v>50</v>
      </c>
      <c r="I9" s="1">
        <v>32</v>
      </c>
      <c r="J9" s="1">
        <v>54</v>
      </c>
      <c r="K9" s="1">
        <v>2</v>
      </c>
      <c r="L9" s="1">
        <v>114</v>
      </c>
      <c r="M9" s="1">
        <v>232</v>
      </c>
      <c r="N9" s="1">
        <v>602</v>
      </c>
      <c r="O9" s="1">
        <v>74</v>
      </c>
      <c r="P9" s="1">
        <v>172</v>
      </c>
      <c r="Q9" s="1">
        <v>86</v>
      </c>
      <c r="R9" s="1">
        <v>282</v>
      </c>
      <c r="S9" s="1">
        <v>114</v>
      </c>
      <c r="T9" s="1">
        <v>320</v>
      </c>
      <c r="U9" s="1">
        <v>38</v>
      </c>
      <c r="V9" s="1">
        <v>98</v>
      </c>
      <c r="W9" s="1">
        <v>188</v>
      </c>
      <c r="X9" s="1">
        <v>334</v>
      </c>
      <c r="Y9" s="1">
        <v>108</v>
      </c>
      <c r="Z9" s="1">
        <v>28</v>
      </c>
      <c r="AA9" s="1">
        <v>50</v>
      </c>
      <c r="AB9" s="1">
        <v>856</v>
      </c>
      <c r="AC9" s="1">
        <v>862</v>
      </c>
      <c r="AD9" s="1">
        <v>38</v>
      </c>
      <c r="AE9" s="1">
        <v>0</v>
      </c>
      <c r="AF9" s="1">
        <v>2</v>
      </c>
      <c r="AG9" s="1">
        <v>390</v>
      </c>
      <c r="AH9" s="1">
        <v>256</v>
      </c>
      <c r="AI9" s="1">
        <v>450</v>
      </c>
      <c r="AJ9" s="1">
        <v>78</v>
      </c>
      <c r="AK9" s="1">
        <v>12</v>
      </c>
      <c r="AL9" s="1">
        <v>92</v>
      </c>
      <c r="AM9" s="1">
        <v>4</v>
      </c>
      <c r="AN9" s="1">
        <v>16</v>
      </c>
      <c r="AO9" s="1">
        <v>48</v>
      </c>
      <c r="AP9" s="1">
        <v>20</v>
      </c>
      <c r="AQ9" s="1">
        <v>0</v>
      </c>
      <c r="AR9" s="1">
        <v>418</v>
      </c>
      <c r="AS9" s="1">
        <v>118</v>
      </c>
      <c r="AT9" s="1">
        <v>48</v>
      </c>
      <c r="AU9" s="1">
        <v>546</v>
      </c>
      <c r="AV9" s="1">
        <v>16</v>
      </c>
      <c r="AW9" s="1">
        <v>108</v>
      </c>
      <c r="AX9" s="1">
        <v>76</v>
      </c>
      <c r="AY9" s="1">
        <v>0</v>
      </c>
      <c r="AZ9" s="1">
        <v>18</v>
      </c>
      <c r="BA9" s="1">
        <v>14</v>
      </c>
      <c r="BB9" s="1">
        <v>122</v>
      </c>
      <c r="BC9" s="1">
        <v>522</v>
      </c>
      <c r="BD9" s="1">
        <v>382</v>
      </c>
      <c r="BE9" s="1">
        <v>468</v>
      </c>
      <c r="BF9" s="1">
        <v>66</v>
      </c>
      <c r="BG9" s="1">
        <v>112</v>
      </c>
      <c r="BH9" s="1">
        <v>38</v>
      </c>
      <c r="BI9" s="1">
        <v>18</v>
      </c>
      <c r="BJ9" s="1">
        <v>0</v>
      </c>
      <c r="BK9" s="1">
        <v>2</v>
      </c>
      <c r="BL9" s="1">
        <v>24</v>
      </c>
      <c r="BM9" s="1">
        <v>160</v>
      </c>
      <c r="BN9" s="1">
        <v>16</v>
      </c>
      <c r="BO9" s="1">
        <v>88</v>
      </c>
      <c r="BP9" s="1">
        <v>250</v>
      </c>
      <c r="BQ9" s="1">
        <v>30</v>
      </c>
      <c r="BR9" s="1">
        <v>308</v>
      </c>
      <c r="BS9" s="1">
        <v>86</v>
      </c>
      <c r="BT9" s="1">
        <v>194</v>
      </c>
    </row>
    <row r="10" spans="1:72" x14ac:dyDescent="0.25">
      <c r="A10" s="2" t="s">
        <v>82</v>
      </c>
      <c r="B10" s="1">
        <v>0</v>
      </c>
      <c r="C10" s="1">
        <v>4</v>
      </c>
      <c r="D10" s="1">
        <v>0</v>
      </c>
      <c r="E10" s="1">
        <v>0</v>
      </c>
      <c r="F10" s="1">
        <v>0</v>
      </c>
      <c r="G10" s="1">
        <v>0</v>
      </c>
      <c r="H10" s="1">
        <v>0</v>
      </c>
      <c r="I10" s="1">
        <v>0</v>
      </c>
      <c r="J10" s="1">
        <v>0</v>
      </c>
      <c r="K10" s="1">
        <v>0</v>
      </c>
      <c r="L10" s="1">
        <v>0</v>
      </c>
      <c r="M10" s="1">
        <v>0</v>
      </c>
      <c r="N10" s="1">
        <v>4</v>
      </c>
      <c r="O10" s="1">
        <v>0</v>
      </c>
      <c r="P10" s="1">
        <v>0</v>
      </c>
      <c r="Q10" s="1">
        <v>0</v>
      </c>
      <c r="R10" s="1">
        <v>22</v>
      </c>
      <c r="S10" s="1">
        <v>0</v>
      </c>
      <c r="T10" s="1">
        <v>0</v>
      </c>
      <c r="U10" s="1">
        <v>0</v>
      </c>
      <c r="V10" s="1">
        <v>10</v>
      </c>
      <c r="W10" s="1">
        <v>0</v>
      </c>
      <c r="X10" s="1">
        <v>0</v>
      </c>
      <c r="Y10" s="1">
        <v>2</v>
      </c>
      <c r="Z10" s="1">
        <v>2</v>
      </c>
      <c r="AA10" s="1">
        <v>0</v>
      </c>
      <c r="AB10" s="1">
        <v>30</v>
      </c>
      <c r="AC10" s="1">
        <v>26</v>
      </c>
      <c r="AD10" s="1">
        <v>0</v>
      </c>
      <c r="AE10" s="1">
        <v>0</v>
      </c>
      <c r="AF10" s="1">
        <v>0</v>
      </c>
      <c r="AG10" s="1">
        <v>0</v>
      </c>
      <c r="AH10" s="1">
        <v>0</v>
      </c>
      <c r="AI10" s="1">
        <v>0</v>
      </c>
      <c r="AJ10" s="1">
        <v>0</v>
      </c>
      <c r="AK10" s="1">
        <v>0</v>
      </c>
      <c r="AL10" s="1">
        <v>0</v>
      </c>
      <c r="AM10" s="1">
        <v>0</v>
      </c>
      <c r="AN10" s="1">
        <v>0</v>
      </c>
      <c r="AO10" s="1">
        <v>0</v>
      </c>
      <c r="AP10" s="1">
        <v>0</v>
      </c>
      <c r="AQ10" s="1">
        <v>0</v>
      </c>
      <c r="AR10" s="1">
        <v>0</v>
      </c>
      <c r="AS10" s="1">
        <v>0</v>
      </c>
      <c r="AT10" s="1">
        <v>0</v>
      </c>
      <c r="AU10" s="1">
        <v>10</v>
      </c>
      <c r="AV10" s="1">
        <v>0</v>
      </c>
      <c r="AW10" s="1">
        <v>0</v>
      </c>
      <c r="AX10" s="1">
        <v>0</v>
      </c>
      <c r="AY10" s="1">
        <v>0</v>
      </c>
      <c r="AZ10" s="1">
        <v>0</v>
      </c>
      <c r="BA10" s="1">
        <v>0</v>
      </c>
      <c r="BB10" s="1">
        <v>6</v>
      </c>
      <c r="BC10" s="1">
        <v>0</v>
      </c>
      <c r="BD10" s="1">
        <v>0</v>
      </c>
      <c r="BE10" s="1">
        <v>8</v>
      </c>
      <c r="BF10" s="1">
        <v>0</v>
      </c>
      <c r="BG10" s="1">
        <v>0</v>
      </c>
      <c r="BH10" s="1">
        <v>0</v>
      </c>
      <c r="BI10" s="1">
        <v>0</v>
      </c>
      <c r="BJ10" s="1">
        <v>0</v>
      </c>
      <c r="BK10" s="1">
        <v>0</v>
      </c>
      <c r="BL10" s="1">
        <v>0</v>
      </c>
      <c r="BM10" s="1">
        <v>0</v>
      </c>
      <c r="BN10" s="1">
        <v>0</v>
      </c>
      <c r="BO10" s="1">
        <v>0</v>
      </c>
      <c r="BP10" s="1">
        <v>0</v>
      </c>
      <c r="BQ10" s="1">
        <v>2</v>
      </c>
      <c r="BR10" s="1">
        <v>0</v>
      </c>
      <c r="BS10" s="1">
        <v>2</v>
      </c>
      <c r="BT10" s="1">
        <v>0</v>
      </c>
    </row>
    <row r="11" spans="1:72" x14ac:dyDescent="0.25">
      <c r="A11" s="2" t="s">
        <v>83</v>
      </c>
      <c r="B11" s="1">
        <v>110</v>
      </c>
      <c r="C11" s="1">
        <v>194</v>
      </c>
      <c r="D11" s="1">
        <v>110</v>
      </c>
      <c r="E11" s="1">
        <v>40</v>
      </c>
      <c r="F11" s="1">
        <v>116</v>
      </c>
      <c r="G11" s="1">
        <v>52</v>
      </c>
      <c r="H11" s="1">
        <v>28</v>
      </c>
      <c r="I11" s="1">
        <v>106</v>
      </c>
      <c r="J11" s="1">
        <v>116</v>
      </c>
      <c r="K11" s="1">
        <v>0</v>
      </c>
      <c r="L11" s="1">
        <v>38</v>
      </c>
      <c r="M11" s="1">
        <v>54</v>
      </c>
      <c r="N11" s="1">
        <v>302</v>
      </c>
      <c r="O11" s="1">
        <v>26</v>
      </c>
      <c r="P11" s="1">
        <v>66</v>
      </c>
      <c r="Q11" s="1">
        <v>18</v>
      </c>
      <c r="R11" s="1">
        <v>226</v>
      </c>
      <c r="S11" s="1">
        <v>60</v>
      </c>
      <c r="T11" s="1">
        <v>104</v>
      </c>
      <c r="U11" s="1">
        <v>2</v>
      </c>
      <c r="V11" s="1">
        <v>28</v>
      </c>
      <c r="W11" s="1">
        <v>86</v>
      </c>
      <c r="X11" s="1">
        <v>116</v>
      </c>
      <c r="Y11" s="1">
        <v>2</v>
      </c>
      <c r="Z11" s="1">
        <v>0</v>
      </c>
      <c r="AA11" s="1">
        <v>36</v>
      </c>
      <c r="AB11" s="1">
        <v>298</v>
      </c>
      <c r="AC11" s="1">
        <v>264</v>
      </c>
      <c r="AD11" s="1">
        <v>0</v>
      </c>
      <c r="AE11" s="1">
        <v>0</v>
      </c>
      <c r="AF11" s="1">
        <v>0</v>
      </c>
      <c r="AG11" s="1">
        <v>158</v>
      </c>
      <c r="AH11" s="1">
        <v>238</v>
      </c>
      <c r="AI11" s="1">
        <v>64</v>
      </c>
      <c r="AJ11" s="1">
        <v>46</v>
      </c>
      <c r="AK11" s="1">
        <v>0</v>
      </c>
      <c r="AL11" s="1">
        <v>0</v>
      </c>
      <c r="AM11" s="1">
        <v>22</v>
      </c>
      <c r="AN11" s="1">
        <v>0</v>
      </c>
      <c r="AO11" s="1">
        <v>0</v>
      </c>
      <c r="AP11" s="1">
        <v>0</v>
      </c>
      <c r="AQ11" s="1">
        <v>2</v>
      </c>
      <c r="AR11" s="1">
        <v>178</v>
      </c>
      <c r="AS11" s="1">
        <v>30</v>
      </c>
      <c r="AT11" s="1">
        <v>42</v>
      </c>
      <c r="AU11" s="1">
        <v>68</v>
      </c>
      <c r="AV11" s="1">
        <v>56</v>
      </c>
      <c r="AW11" s="1">
        <v>12</v>
      </c>
      <c r="AX11" s="1">
        <v>10</v>
      </c>
      <c r="AY11" s="1">
        <v>0</v>
      </c>
      <c r="AZ11" s="1">
        <v>18</v>
      </c>
      <c r="BA11" s="1">
        <v>0</v>
      </c>
      <c r="BB11" s="1">
        <v>82</v>
      </c>
      <c r="BC11" s="1">
        <v>310</v>
      </c>
      <c r="BD11" s="1">
        <v>336</v>
      </c>
      <c r="BE11" s="1">
        <v>372</v>
      </c>
      <c r="BF11" s="1">
        <v>306</v>
      </c>
      <c r="BG11" s="1">
        <v>174</v>
      </c>
      <c r="BH11" s="1">
        <v>14</v>
      </c>
      <c r="BI11" s="1">
        <v>0</v>
      </c>
      <c r="BJ11" s="1">
        <v>0</v>
      </c>
      <c r="BK11" s="1">
        <v>32</v>
      </c>
      <c r="BL11" s="1">
        <v>48</v>
      </c>
      <c r="BM11" s="1">
        <v>46</v>
      </c>
      <c r="BN11" s="1">
        <v>122</v>
      </c>
      <c r="BO11" s="1">
        <v>16</v>
      </c>
      <c r="BP11" s="1">
        <v>36</v>
      </c>
      <c r="BQ11" s="1">
        <v>74</v>
      </c>
      <c r="BR11" s="1">
        <v>284</v>
      </c>
      <c r="BS11" s="1">
        <v>34</v>
      </c>
      <c r="BT11" s="1">
        <v>106</v>
      </c>
    </row>
    <row r="12" spans="1:72" x14ac:dyDescent="0.25">
      <c r="A12" s="2" t="s">
        <v>84</v>
      </c>
      <c r="B12" s="1">
        <v>28</v>
      </c>
      <c r="C12" s="1">
        <v>42</v>
      </c>
      <c r="D12" s="1">
        <v>18</v>
      </c>
      <c r="E12" s="1">
        <v>38</v>
      </c>
      <c r="F12" s="1">
        <v>80</v>
      </c>
      <c r="G12" s="1">
        <v>32</v>
      </c>
      <c r="H12" s="1">
        <v>80</v>
      </c>
      <c r="I12" s="1">
        <v>12</v>
      </c>
      <c r="J12" s="1">
        <v>6</v>
      </c>
      <c r="K12" s="1">
        <v>0</v>
      </c>
      <c r="L12" s="1">
        <v>82</v>
      </c>
      <c r="M12" s="1">
        <v>80</v>
      </c>
      <c r="N12" s="1">
        <v>178</v>
      </c>
      <c r="O12" s="1">
        <v>0</v>
      </c>
      <c r="P12" s="1">
        <v>90</v>
      </c>
      <c r="Q12" s="1">
        <v>24</v>
      </c>
      <c r="R12" s="1">
        <v>88</v>
      </c>
      <c r="S12" s="1">
        <v>0</v>
      </c>
      <c r="T12" s="1">
        <v>118</v>
      </c>
      <c r="U12" s="1">
        <v>0</v>
      </c>
      <c r="V12" s="1">
        <v>28</v>
      </c>
      <c r="W12" s="1">
        <v>38</v>
      </c>
      <c r="X12" s="1">
        <v>246</v>
      </c>
      <c r="Y12" s="1">
        <v>24</v>
      </c>
      <c r="Z12" s="1">
        <v>24</v>
      </c>
      <c r="AA12" s="1">
        <v>18</v>
      </c>
      <c r="AB12" s="1">
        <v>106</v>
      </c>
      <c r="AC12" s="1">
        <v>148</v>
      </c>
      <c r="AD12" s="1">
        <v>2</v>
      </c>
      <c r="AE12" s="1">
        <v>22</v>
      </c>
      <c r="AF12" s="1">
        <v>0</v>
      </c>
      <c r="AG12" s="1">
        <v>182</v>
      </c>
      <c r="AH12" s="1">
        <v>54</v>
      </c>
      <c r="AI12" s="1">
        <v>118</v>
      </c>
      <c r="AJ12" s="1">
        <v>6</v>
      </c>
      <c r="AK12" s="1">
        <v>26</v>
      </c>
      <c r="AL12" s="1">
        <v>0</v>
      </c>
      <c r="AM12" s="1">
        <v>34</v>
      </c>
      <c r="AN12" s="1">
        <v>10</v>
      </c>
      <c r="AO12" s="1">
        <v>30</v>
      </c>
      <c r="AP12" s="1">
        <v>40</v>
      </c>
      <c r="AQ12" s="1">
        <v>0</v>
      </c>
      <c r="AR12" s="1">
        <v>58</v>
      </c>
      <c r="AS12" s="1">
        <v>0</v>
      </c>
      <c r="AT12" s="1">
        <v>22</v>
      </c>
      <c r="AU12" s="1">
        <v>60</v>
      </c>
      <c r="AV12" s="1">
        <v>10</v>
      </c>
      <c r="AW12" s="1">
        <v>0</v>
      </c>
      <c r="AX12" s="1">
        <v>0</v>
      </c>
      <c r="AY12" s="1">
        <v>8</v>
      </c>
      <c r="AZ12" s="1">
        <v>2</v>
      </c>
      <c r="BA12" s="1">
        <v>44</v>
      </c>
      <c r="BB12" s="1">
        <v>50</v>
      </c>
      <c r="BC12" s="1">
        <v>142</v>
      </c>
      <c r="BD12" s="1">
        <v>244</v>
      </c>
      <c r="BE12" s="1">
        <v>110</v>
      </c>
      <c r="BF12" s="1">
        <v>60</v>
      </c>
      <c r="BG12" s="1">
        <v>56</v>
      </c>
      <c r="BH12" s="1">
        <v>16</v>
      </c>
      <c r="BI12" s="1">
        <v>16</v>
      </c>
      <c r="BJ12" s="1">
        <v>0</v>
      </c>
      <c r="BK12" s="1">
        <v>4</v>
      </c>
      <c r="BL12" s="1">
        <v>8</v>
      </c>
      <c r="BM12" s="1">
        <v>4</v>
      </c>
      <c r="BN12" s="1">
        <v>4034</v>
      </c>
      <c r="BO12" s="1">
        <v>38</v>
      </c>
      <c r="BP12" s="1">
        <v>6</v>
      </c>
      <c r="BQ12" s="1">
        <v>48</v>
      </c>
      <c r="BR12" s="1">
        <v>166</v>
      </c>
      <c r="BS12" s="1">
        <v>78</v>
      </c>
      <c r="BT12" s="1">
        <v>68</v>
      </c>
    </row>
    <row r="13" spans="1:72" x14ac:dyDescent="0.25">
      <c r="A13" s="2" t="s">
        <v>85</v>
      </c>
      <c r="B13" s="1">
        <v>4020</v>
      </c>
      <c r="C13" s="1">
        <v>284</v>
      </c>
      <c r="D13" s="1">
        <v>432</v>
      </c>
      <c r="E13" s="1">
        <v>100</v>
      </c>
      <c r="F13" s="1">
        <v>18</v>
      </c>
      <c r="G13" s="1">
        <v>152</v>
      </c>
      <c r="H13" s="1">
        <v>98</v>
      </c>
      <c r="I13" s="1">
        <v>88</v>
      </c>
      <c r="J13" s="1">
        <v>798</v>
      </c>
      <c r="K13" s="1">
        <v>62</v>
      </c>
      <c r="L13" s="1">
        <v>228</v>
      </c>
      <c r="M13" s="1">
        <v>144</v>
      </c>
      <c r="N13" s="1">
        <v>654</v>
      </c>
      <c r="O13" s="1">
        <v>164</v>
      </c>
      <c r="P13" s="1">
        <v>212</v>
      </c>
      <c r="Q13" s="1">
        <v>34</v>
      </c>
      <c r="R13" s="1">
        <v>542</v>
      </c>
      <c r="S13" s="1">
        <v>112</v>
      </c>
      <c r="T13" s="1">
        <v>248</v>
      </c>
      <c r="U13" s="1">
        <v>62</v>
      </c>
      <c r="V13" s="1">
        <v>158</v>
      </c>
      <c r="W13" s="1">
        <v>204</v>
      </c>
      <c r="X13" s="1">
        <v>298</v>
      </c>
      <c r="Y13" s="1">
        <v>80</v>
      </c>
      <c r="Z13" s="1">
        <v>2</v>
      </c>
      <c r="AA13" s="1">
        <v>2</v>
      </c>
      <c r="AB13" s="1">
        <v>926</v>
      </c>
      <c r="AC13" s="1">
        <v>856</v>
      </c>
      <c r="AD13" s="1">
        <v>32</v>
      </c>
      <c r="AE13" s="1">
        <v>78</v>
      </c>
      <c r="AF13" s="1">
        <v>12</v>
      </c>
      <c r="AG13" s="1">
        <v>380</v>
      </c>
      <c r="AH13" s="1">
        <v>188</v>
      </c>
      <c r="AI13" s="1">
        <v>228</v>
      </c>
      <c r="AJ13" s="1">
        <v>46</v>
      </c>
      <c r="AK13" s="1">
        <v>28</v>
      </c>
      <c r="AL13" s="1">
        <v>0</v>
      </c>
      <c r="AM13" s="1">
        <v>22</v>
      </c>
      <c r="AN13" s="1">
        <v>16</v>
      </c>
      <c r="AO13" s="1">
        <v>62</v>
      </c>
      <c r="AP13" s="1">
        <v>52</v>
      </c>
      <c r="AQ13" s="1">
        <v>0</v>
      </c>
      <c r="AR13" s="1">
        <v>148</v>
      </c>
      <c r="AS13" s="1">
        <v>136</v>
      </c>
      <c r="AT13" s="1">
        <v>28</v>
      </c>
      <c r="AU13" s="1">
        <v>1288</v>
      </c>
      <c r="AV13" s="1">
        <v>162</v>
      </c>
      <c r="AW13" s="1">
        <v>88</v>
      </c>
      <c r="AX13" s="1">
        <v>56</v>
      </c>
      <c r="AY13" s="1">
        <v>4</v>
      </c>
      <c r="AZ13" s="1">
        <v>18</v>
      </c>
      <c r="BA13" s="1">
        <v>54</v>
      </c>
      <c r="BB13" s="1">
        <v>326</v>
      </c>
      <c r="BC13" s="1">
        <v>602</v>
      </c>
      <c r="BD13" s="1">
        <v>466</v>
      </c>
      <c r="BE13" s="1">
        <v>518</v>
      </c>
      <c r="BF13" s="1">
        <v>104</v>
      </c>
      <c r="BG13" s="1">
        <v>138</v>
      </c>
      <c r="BH13" s="1">
        <v>32</v>
      </c>
      <c r="BI13" s="1">
        <v>72</v>
      </c>
      <c r="BJ13" s="1">
        <v>0</v>
      </c>
      <c r="BK13" s="1">
        <v>76</v>
      </c>
      <c r="BL13" s="1">
        <v>16</v>
      </c>
      <c r="BM13" s="1">
        <v>60</v>
      </c>
      <c r="BN13" s="1">
        <v>34</v>
      </c>
      <c r="BO13" s="1">
        <v>48</v>
      </c>
      <c r="BP13" s="1">
        <v>92</v>
      </c>
      <c r="BQ13" s="1">
        <v>12</v>
      </c>
      <c r="BR13" s="1">
        <v>478</v>
      </c>
      <c r="BS13" s="1">
        <v>102</v>
      </c>
      <c r="BT13" s="1">
        <v>80</v>
      </c>
    </row>
    <row r="14" spans="1:72" x14ac:dyDescent="0.25">
      <c r="A14" s="2" t="s">
        <v>86</v>
      </c>
      <c r="B14" s="1">
        <v>370</v>
      </c>
      <c r="C14" s="1">
        <v>54</v>
      </c>
      <c r="D14" s="1">
        <v>56</v>
      </c>
      <c r="E14" s="1">
        <v>44</v>
      </c>
      <c r="F14" s="1">
        <v>24</v>
      </c>
      <c r="G14" s="1">
        <v>32</v>
      </c>
      <c r="H14" s="1">
        <v>12</v>
      </c>
      <c r="I14" s="1">
        <v>20</v>
      </c>
      <c r="J14" s="1">
        <v>78</v>
      </c>
      <c r="K14" s="1">
        <v>0</v>
      </c>
      <c r="L14" s="1">
        <v>32</v>
      </c>
      <c r="M14" s="1">
        <v>26</v>
      </c>
      <c r="N14" s="1">
        <v>132</v>
      </c>
      <c r="O14" s="1">
        <v>0</v>
      </c>
      <c r="P14" s="1">
        <v>88</v>
      </c>
      <c r="Q14" s="1">
        <v>30</v>
      </c>
      <c r="R14" s="1">
        <v>106</v>
      </c>
      <c r="S14" s="1">
        <v>26</v>
      </c>
      <c r="T14" s="1">
        <v>56</v>
      </c>
      <c r="U14" s="1">
        <v>0</v>
      </c>
      <c r="V14" s="1">
        <v>38</v>
      </c>
      <c r="W14" s="1">
        <v>56</v>
      </c>
      <c r="X14" s="1">
        <v>58</v>
      </c>
      <c r="Y14" s="1">
        <v>54</v>
      </c>
      <c r="Z14" s="1">
        <v>6</v>
      </c>
      <c r="AA14" s="1">
        <v>0</v>
      </c>
      <c r="AB14" s="1">
        <v>42</v>
      </c>
      <c r="AC14" s="1">
        <v>70</v>
      </c>
      <c r="AD14" s="1">
        <v>0</v>
      </c>
      <c r="AE14" s="1">
        <v>0</v>
      </c>
      <c r="AF14" s="1">
        <v>0</v>
      </c>
      <c r="AG14" s="1">
        <v>42</v>
      </c>
      <c r="AH14" s="1">
        <v>0</v>
      </c>
      <c r="AI14" s="1">
        <v>22</v>
      </c>
      <c r="AJ14" s="1">
        <v>34</v>
      </c>
      <c r="AK14" s="1">
        <v>12</v>
      </c>
      <c r="AL14" s="1">
        <v>0</v>
      </c>
      <c r="AM14" s="1">
        <v>0</v>
      </c>
      <c r="AN14" s="1">
        <v>26</v>
      </c>
      <c r="AO14" s="1">
        <v>34</v>
      </c>
      <c r="AP14" s="1">
        <v>0</v>
      </c>
      <c r="AQ14" s="1">
        <v>0</v>
      </c>
      <c r="AR14" s="1">
        <v>40</v>
      </c>
      <c r="AS14" s="1">
        <v>0</v>
      </c>
      <c r="AT14" s="1">
        <v>78</v>
      </c>
      <c r="AU14" s="1">
        <v>274</v>
      </c>
      <c r="AV14" s="1">
        <v>38</v>
      </c>
      <c r="AW14" s="1">
        <v>0</v>
      </c>
      <c r="AX14" s="1">
        <v>0</v>
      </c>
      <c r="AY14" s="1">
        <v>0</v>
      </c>
      <c r="AZ14" s="1">
        <v>0</v>
      </c>
      <c r="BA14" s="1">
        <v>0</v>
      </c>
      <c r="BB14" s="1">
        <v>0</v>
      </c>
      <c r="BC14" s="1">
        <v>74</v>
      </c>
      <c r="BD14" s="1">
        <v>76</v>
      </c>
      <c r="BE14" s="1">
        <v>60</v>
      </c>
      <c r="BF14" s="1">
        <v>42</v>
      </c>
      <c r="BG14" s="1">
        <v>34</v>
      </c>
      <c r="BH14" s="1">
        <v>26</v>
      </c>
      <c r="BI14" s="1">
        <v>16</v>
      </c>
      <c r="BJ14" s="1">
        <v>0</v>
      </c>
      <c r="BK14" s="1">
        <v>0</v>
      </c>
      <c r="BL14" s="1">
        <v>46</v>
      </c>
      <c r="BM14" s="1">
        <v>140</v>
      </c>
      <c r="BN14" s="1">
        <v>14</v>
      </c>
      <c r="BO14" s="1">
        <v>0</v>
      </c>
      <c r="BP14" s="1">
        <v>0</v>
      </c>
      <c r="BQ14" s="1">
        <v>0</v>
      </c>
      <c r="BR14" s="1">
        <v>100</v>
      </c>
      <c r="BS14" s="1">
        <v>0</v>
      </c>
      <c r="BT14" s="1">
        <v>24</v>
      </c>
    </row>
    <row r="15" spans="1:72" x14ac:dyDescent="0.25">
      <c r="A15" s="2" t="s">
        <v>87</v>
      </c>
      <c r="B15" s="1">
        <v>706</v>
      </c>
      <c r="C15" s="1">
        <v>108</v>
      </c>
      <c r="D15" s="1">
        <v>310</v>
      </c>
      <c r="E15" s="1">
        <v>22</v>
      </c>
      <c r="F15" s="1">
        <v>28</v>
      </c>
      <c r="G15" s="1">
        <v>74</v>
      </c>
      <c r="H15" s="1">
        <v>0</v>
      </c>
      <c r="I15" s="1">
        <v>28</v>
      </c>
      <c r="J15" s="1">
        <v>556</v>
      </c>
      <c r="K15" s="1">
        <v>0</v>
      </c>
      <c r="L15" s="1">
        <v>88</v>
      </c>
      <c r="M15" s="1">
        <v>146</v>
      </c>
      <c r="N15" s="1">
        <v>228</v>
      </c>
      <c r="O15" s="1">
        <v>24</v>
      </c>
      <c r="P15" s="1">
        <v>172</v>
      </c>
      <c r="Q15" s="1">
        <v>24</v>
      </c>
      <c r="R15" s="1">
        <v>252</v>
      </c>
      <c r="S15" s="1">
        <v>52</v>
      </c>
      <c r="T15" s="1">
        <v>168</v>
      </c>
      <c r="U15" s="1">
        <v>36</v>
      </c>
      <c r="V15" s="1">
        <v>80</v>
      </c>
      <c r="W15" s="1">
        <v>16</v>
      </c>
      <c r="X15" s="1">
        <v>248</v>
      </c>
      <c r="Y15" s="1">
        <v>54</v>
      </c>
      <c r="Z15" s="1">
        <v>32</v>
      </c>
      <c r="AA15" s="1">
        <v>14</v>
      </c>
      <c r="AB15" s="1">
        <v>380</v>
      </c>
      <c r="AC15" s="1">
        <v>308</v>
      </c>
      <c r="AD15" s="1">
        <v>38</v>
      </c>
      <c r="AE15" s="1">
        <v>0</v>
      </c>
      <c r="AF15" s="1">
        <v>18</v>
      </c>
      <c r="AG15" s="1">
        <v>76</v>
      </c>
      <c r="AH15" s="1">
        <v>120</v>
      </c>
      <c r="AI15" s="1">
        <v>222</v>
      </c>
      <c r="AJ15" s="1">
        <v>66</v>
      </c>
      <c r="AK15" s="1">
        <v>2</v>
      </c>
      <c r="AL15" s="1">
        <v>0</v>
      </c>
      <c r="AM15" s="1">
        <v>0</v>
      </c>
      <c r="AN15" s="1">
        <v>18</v>
      </c>
      <c r="AO15" s="1">
        <v>32</v>
      </c>
      <c r="AP15" s="1">
        <v>0</v>
      </c>
      <c r="AQ15" s="1">
        <v>50</v>
      </c>
      <c r="AR15" s="1">
        <v>188</v>
      </c>
      <c r="AS15" s="1">
        <v>14</v>
      </c>
      <c r="AT15" s="1">
        <v>86</v>
      </c>
      <c r="AU15" s="1">
        <v>398</v>
      </c>
      <c r="AV15" s="1">
        <v>4</v>
      </c>
      <c r="AW15" s="1">
        <v>68</v>
      </c>
      <c r="AX15" s="1">
        <v>46</v>
      </c>
      <c r="AY15" s="1">
        <v>0</v>
      </c>
      <c r="AZ15" s="1">
        <v>50</v>
      </c>
      <c r="BA15" s="1">
        <v>0</v>
      </c>
      <c r="BB15" s="1">
        <v>52</v>
      </c>
      <c r="BC15" s="1">
        <v>416</v>
      </c>
      <c r="BD15" s="1">
        <v>278</v>
      </c>
      <c r="BE15" s="1">
        <v>224</v>
      </c>
      <c r="BF15" s="1">
        <v>14</v>
      </c>
      <c r="BG15" s="1">
        <v>158</v>
      </c>
      <c r="BH15" s="1">
        <v>0</v>
      </c>
      <c r="BI15" s="1">
        <v>0</v>
      </c>
      <c r="BJ15" s="1">
        <v>0</v>
      </c>
      <c r="BK15" s="1">
        <v>14</v>
      </c>
      <c r="BL15" s="1">
        <v>40</v>
      </c>
      <c r="BM15" s="1">
        <v>46</v>
      </c>
      <c r="BN15" s="1">
        <v>20</v>
      </c>
      <c r="BO15" s="1">
        <v>26</v>
      </c>
      <c r="BP15" s="1">
        <v>90</v>
      </c>
      <c r="BQ15" s="1">
        <v>38</v>
      </c>
      <c r="BR15" s="1">
        <v>204</v>
      </c>
      <c r="BS15" s="1">
        <v>86</v>
      </c>
      <c r="BT15" s="1">
        <v>12</v>
      </c>
    </row>
    <row r="16" spans="1:72" x14ac:dyDescent="0.25">
      <c r="A16" s="2" t="s">
        <v>88</v>
      </c>
      <c r="B16" s="1">
        <v>378</v>
      </c>
      <c r="C16" s="1">
        <v>238</v>
      </c>
      <c r="D16" s="1">
        <v>300</v>
      </c>
      <c r="E16" s="1">
        <v>64</v>
      </c>
      <c r="F16" s="1">
        <v>200</v>
      </c>
      <c r="G16" s="1">
        <v>50</v>
      </c>
      <c r="H16" s="1">
        <v>106</v>
      </c>
      <c r="I16" s="1">
        <v>128</v>
      </c>
      <c r="J16" s="1">
        <v>24</v>
      </c>
      <c r="K16" s="1">
        <v>12</v>
      </c>
      <c r="L16" s="1">
        <v>254</v>
      </c>
      <c r="M16" s="1">
        <v>272</v>
      </c>
      <c r="N16" s="1">
        <v>742</v>
      </c>
      <c r="O16" s="1">
        <v>154</v>
      </c>
      <c r="P16" s="1">
        <v>296</v>
      </c>
      <c r="Q16" s="1">
        <v>60</v>
      </c>
      <c r="R16" s="1">
        <v>442</v>
      </c>
      <c r="S16" s="1">
        <v>188</v>
      </c>
      <c r="T16" s="1">
        <v>488</v>
      </c>
      <c r="U16" s="1">
        <v>62</v>
      </c>
      <c r="V16" s="1">
        <v>180</v>
      </c>
      <c r="W16" s="1">
        <v>202</v>
      </c>
      <c r="X16" s="1">
        <v>248</v>
      </c>
      <c r="Y16" s="1">
        <v>42</v>
      </c>
      <c r="Z16" s="1">
        <v>32</v>
      </c>
      <c r="AA16" s="1">
        <v>0</v>
      </c>
      <c r="AB16" s="1">
        <v>656</v>
      </c>
      <c r="AC16" s="1">
        <v>586</v>
      </c>
      <c r="AD16" s="1">
        <v>16</v>
      </c>
      <c r="AE16" s="1">
        <v>62</v>
      </c>
      <c r="AF16" s="1">
        <v>110</v>
      </c>
      <c r="AG16" s="1">
        <v>180</v>
      </c>
      <c r="AH16" s="1">
        <v>142</v>
      </c>
      <c r="AI16" s="1">
        <v>374</v>
      </c>
      <c r="AJ16" s="1">
        <v>58</v>
      </c>
      <c r="AK16" s="1">
        <v>32</v>
      </c>
      <c r="AL16" s="1">
        <v>68</v>
      </c>
      <c r="AM16" s="1">
        <v>20</v>
      </c>
      <c r="AN16" s="1">
        <v>12</v>
      </c>
      <c r="AO16" s="1">
        <v>78</v>
      </c>
      <c r="AP16" s="1">
        <v>18</v>
      </c>
      <c r="AQ16" s="1">
        <v>0</v>
      </c>
      <c r="AR16" s="1">
        <v>174</v>
      </c>
      <c r="AS16" s="1">
        <v>2</v>
      </c>
      <c r="AT16" s="1">
        <v>34</v>
      </c>
      <c r="AU16" s="1">
        <v>412</v>
      </c>
      <c r="AV16" s="1">
        <v>26</v>
      </c>
      <c r="AW16" s="1">
        <v>60</v>
      </c>
      <c r="AX16" s="1">
        <v>66</v>
      </c>
      <c r="AY16" s="1">
        <v>4</v>
      </c>
      <c r="AZ16" s="1">
        <v>128</v>
      </c>
      <c r="BA16" s="1">
        <v>16</v>
      </c>
      <c r="BB16" s="1">
        <v>54</v>
      </c>
      <c r="BC16" s="1">
        <v>346</v>
      </c>
      <c r="BD16" s="1">
        <v>456</v>
      </c>
      <c r="BE16" s="1">
        <v>438</v>
      </c>
      <c r="BF16" s="1">
        <v>128</v>
      </c>
      <c r="BG16" s="1">
        <v>214</v>
      </c>
      <c r="BH16" s="1">
        <v>160</v>
      </c>
      <c r="BI16" s="1">
        <v>54</v>
      </c>
      <c r="BJ16" s="1">
        <v>0</v>
      </c>
      <c r="BK16" s="1">
        <v>46</v>
      </c>
      <c r="BL16" s="1">
        <v>88</v>
      </c>
      <c r="BM16" s="1">
        <v>224</v>
      </c>
      <c r="BN16" s="1">
        <v>146</v>
      </c>
      <c r="BO16" s="1">
        <v>154</v>
      </c>
      <c r="BP16" s="1">
        <v>232</v>
      </c>
      <c r="BQ16" s="1">
        <v>138</v>
      </c>
      <c r="BR16" s="1">
        <v>492</v>
      </c>
      <c r="BS16" s="1">
        <v>40</v>
      </c>
      <c r="BT16" s="1">
        <v>244</v>
      </c>
    </row>
    <row r="17" spans="1:72" x14ac:dyDescent="0.25">
      <c r="A17" s="2" t="s">
        <v>89</v>
      </c>
      <c r="B17" s="1">
        <v>384</v>
      </c>
      <c r="C17" s="1">
        <v>274</v>
      </c>
      <c r="D17" s="1">
        <v>484</v>
      </c>
      <c r="E17" s="1">
        <v>224</v>
      </c>
      <c r="F17" s="1">
        <v>236</v>
      </c>
      <c r="G17" s="1">
        <v>142</v>
      </c>
      <c r="H17" s="1">
        <v>74</v>
      </c>
      <c r="I17" s="1">
        <v>148</v>
      </c>
      <c r="J17" s="1">
        <v>206</v>
      </c>
      <c r="K17" s="1">
        <v>34</v>
      </c>
      <c r="L17" s="1">
        <v>624</v>
      </c>
      <c r="M17" s="1">
        <v>562</v>
      </c>
      <c r="N17" s="1">
        <v>1502</v>
      </c>
      <c r="O17" s="1">
        <v>144</v>
      </c>
      <c r="P17" s="1">
        <v>418</v>
      </c>
      <c r="Q17" s="1">
        <v>134</v>
      </c>
      <c r="R17" s="1">
        <v>388</v>
      </c>
      <c r="S17" s="1">
        <v>304</v>
      </c>
      <c r="T17" s="1">
        <v>938</v>
      </c>
      <c r="U17" s="1">
        <v>102</v>
      </c>
      <c r="V17" s="1">
        <v>128</v>
      </c>
      <c r="W17" s="1">
        <v>112</v>
      </c>
      <c r="X17" s="1">
        <v>504</v>
      </c>
      <c r="Y17" s="1">
        <v>130</v>
      </c>
      <c r="Z17" s="1">
        <v>74</v>
      </c>
      <c r="AA17" s="1">
        <v>22</v>
      </c>
      <c r="AB17" s="1">
        <v>1070</v>
      </c>
      <c r="AC17" s="1">
        <v>1112</v>
      </c>
      <c r="AD17" s="1">
        <v>88</v>
      </c>
      <c r="AE17" s="1">
        <v>52</v>
      </c>
      <c r="AF17" s="1">
        <v>110</v>
      </c>
      <c r="AG17" s="1">
        <v>650</v>
      </c>
      <c r="AH17" s="1">
        <v>594</v>
      </c>
      <c r="AI17" s="1">
        <v>760</v>
      </c>
      <c r="AJ17" s="1">
        <v>120</v>
      </c>
      <c r="AK17" s="1">
        <v>58</v>
      </c>
      <c r="AL17" s="1">
        <v>4</v>
      </c>
      <c r="AM17" s="1">
        <v>10</v>
      </c>
      <c r="AN17" s="1">
        <v>56</v>
      </c>
      <c r="AO17" s="1">
        <v>6</v>
      </c>
      <c r="AP17" s="1">
        <v>40</v>
      </c>
      <c r="AQ17" s="1">
        <v>70</v>
      </c>
      <c r="AR17" s="1">
        <v>434</v>
      </c>
      <c r="AS17" s="1">
        <v>126</v>
      </c>
      <c r="AT17" s="1">
        <v>76</v>
      </c>
      <c r="AU17" s="1">
        <v>722</v>
      </c>
      <c r="AV17" s="1">
        <v>30</v>
      </c>
      <c r="AW17" s="1">
        <v>124</v>
      </c>
      <c r="AX17" s="1">
        <v>126</v>
      </c>
      <c r="AY17" s="1">
        <v>20</v>
      </c>
      <c r="AZ17" s="1">
        <v>80</v>
      </c>
      <c r="BA17" s="1">
        <v>60</v>
      </c>
      <c r="BB17" s="1">
        <v>396</v>
      </c>
      <c r="BC17" s="1">
        <v>1136</v>
      </c>
      <c r="BD17" s="1">
        <v>932</v>
      </c>
      <c r="BE17" s="1">
        <v>870</v>
      </c>
      <c r="BF17" s="1">
        <v>210</v>
      </c>
      <c r="BG17" s="1">
        <v>254</v>
      </c>
      <c r="BH17" s="1">
        <v>46</v>
      </c>
      <c r="BI17" s="1">
        <v>154</v>
      </c>
      <c r="BJ17" s="1">
        <v>0</v>
      </c>
      <c r="BK17" s="1">
        <v>58</v>
      </c>
      <c r="BL17" s="1">
        <v>94</v>
      </c>
      <c r="BM17" s="1">
        <v>202</v>
      </c>
      <c r="BN17" s="1">
        <v>240</v>
      </c>
      <c r="BO17" s="1">
        <v>128</v>
      </c>
      <c r="BP17" s="1">
        <v>312</v>
      </c>
      <c r="BQ17" s="1">
        <v>108</v>
      </c>
      <c r="BR17" s="1">
        <v>884</v>
      </c>
      <c r="BS17" s="1">
        <v>218</v>
      </c>
      <c r="BT17" s="1">
        <v>50</v>
      </c>
    </row>
    <row r="18" spans="1:72" x14ac:dyDescent="0.25">
      <c r="A18" s="2" t="s">
        <v>90</v>
      </c>
      <c r="B18" s="1">
        <v>1310</v>
      </c>
      <c r="C18" s="1">
        <v>978</v>
      </c>
      <c r="D18" s="1">
        <v>1514</v>
      </c>
      <c r="E18" s="1">
        <v>502</v>
      </c>
      <c r="F18" s="1">
        <v>766</v>
      </c>
      <c r="G18" s="1">
        <v>562</v>
      </c>
      <c r="H18" s="1">
        <v>538</v>
      </c>
      <c r="I18" s="1">
        <v>472</v>
      </c>
      <c r="J18" s="1">
        <v>544</v>
      </c>
      <c r="K18" s="1">
        <v>98</v>
      </c>
      <c r="L18" s="1">
        <v>1536</v>
      </c>
      <c r="M18" s="1">
        <v>1756</v>
      </c>
      <c r="N18" s="1">
        <v>3116</v>
      </c>
      <c r="O18" s="1">
        <v>262</v>
      </c>
      <c r="P18" s="1">
        <v>1268</v>
      </c>
      <c r="Q18" s="1">
        <v>342</v>
      </c>
      <c r="R18" s="1">
        <v>1950</v>
      </c>
      <c r="S18" s="1">
        <v>398</v>
      </c>
      <c r="T18" s="1">
        <v>2414</v>
      </c>
      <c r="U18" s="1">
        <v>254</v>
      </c>
      <c r="V18" s="1">
        <v>342</v>
      </c>
      <c r="W18" s="1">
        <v>926</v>
      </c>
      <c r="X18" s="1">
        <v>2094</v>
      </c>
      <c r="Y18" s="1">
        <v>584</v>
      </c>
      <c r="Z18" s="1">
        <v>416</v>
      </c>
      <c r="AA18" s="1">
        <v>174</v>
      </c>
      <c r="AB18" s="1">
        <v>3166</v>
      </c>
      <c r="AC18" s="1">
        <v>3130</v>
      </c>
      <c r="AD18" s="1">
        <v>126</v>
      </c>
      <c r="AE18" s="1">
        <v>152</v>
      </c>
      <c r="AF18" s="1">
        <v>262</v>
      </c>
      <c r="AG18" s="1">
        <v>1234</v>
      </c>
      <c r="AH18" s="1">
        <v>946</v>
      </c>
      <c r="AI18" s="1">
        <v>1716</v>
      </c>
      <c r="AJ18" s="1">
        <v>282</v>
      </c>
      <c r="AK18" s="1">
        <v>424</v>
      </c>
      <c r="AL18" s="1">
        <v>26</v>
      </c>
      <c r="AM18" s="1">
        <v>268</v>
      </c>
      <c r="AN18" s="1">
        <v>150</v>
      </c>
      <c r="AO18" s="1">
        <v>98</v>
      </c>
      <c r="AP18" s="1">
        <v>76</v>
      </c>
      <c r="AQ18" s="1">
        <v>76</v>
      </c>
      <c r="AR18" s="1">
        <v>764</v>
      </c>
      <c r="AS18" s="1">
        <v>396</v>
      </c>
      <c r="AT18" s="1">
        <v>392</v>
      </c>
      <c r="AU18" s="1">
        <v>2060</v>
      </c>
      <c r="AV18" s="1">
        <v>202</v>
      </c>
      <c r="AW18" s="1">
        <v>468</v>
      </c>
      <c r="AX18" s="1">
        <v>408</v>
      </c>
      <c r="AY18" s="1">
        <v>62</v>
      </c>
      <c r="AZ18" s="1">
        <v>214</v>
      </c>
      <c r="BA18" s="1">
        <v>94</v>
      </c>
      <c r="BB18" s="1">
        <v>708</v>
      </c>
      <c r="BC18" s="1">
        <v>2468</v>
      </c>
      <c r="BD18" s="1">
        <v>2140</v>
      </c>
      <c r="BE18" s="1">
        <v>2410</v>
      </c>
      <c r="BF18" s="1">
        <v>334</v>
      </c>
      <c r="BG18" s="1">
        <v>1198</v>
      </c>
      <c r="BH18" s="1">
        <v>318</v>
      </c>
      <c r="BI18" s="1">
        <v>420</v>
      </c>
      <c r="BJ18" s="1">
        <v>0</v>
      </c>
      <c r="BK18" s="1">
        <v>232</v>
      </c>
      <c r="BL18" s="1">
        <v>342</v>
      </c>
      <c r="BM18" s="1">
        <v>826</v>
      </c>
      <c r="BN18" s="1">
        <v>726</v>
      </c>
      <c r="BO18" s="1">
        <v>696</v>
      </c>
      <c r="BP18" s="1">
        <v>876</v>
      </c>
      <c r="BQ18" s="1">
        <v>256</v>
      </c>
      <c r="BR18" s="1">
        <v>2352</v>
      </c>
      <c r="BS18" s="1">
        <v>616</v>
      </c>
      <c r="BT18" s="1">
        <v>302</v>
      </c>
    </row>
    <row r="19" spans="1:72" x14ac:dyDescent="0.25">
      <c r="A19" s="2" t="s">
        <v>91</v>
      </c>
      <c r="B19" s="1">
        <v>356</v>
      </c>
      <c r="C19" s="1">
        <v>344</v>
      </c>
      <c r="D19" s="1">
        <v>340</v>
      </c>
      <c r="E19" s="1">
        <v>218</v>
      </c>
      <c r="F19" s="1">
        <v>142</v>
      </c>
      <c r="G19" s="1">
        <v>166</v>
      </c>
      <c r="H19" s="1">
        <v>186</v>
      </c>
      <c r="I19" s="1">
        <v>72</v>
      </c>
      <c r="J19" s="1">
        <v>120</v>
      </c>
      <c r="K19" s="1">
        <v>10</v>
      </c>
      <c r="L19" s="1">
        <v>412</v>
      </c>
      <c r="M19" s="1">
        <v>442</v>
      </c>
      <c r="N19" s="1">
        <v>742</v>
      </c>
      <c r="O19" s="1">
        <v>158</v>
      </c>
      <c r="P19" s="1">
        <v>312</v>
      </c>
      <c r="Q19" s="1">
        <v>118</v>
      </c>
      <c r="R19" s="1">
        <v>364</v>
      </c>
      <c r="S19" s="1">
        <v>138</v>
      </c>
      <c r="T19" s="1">
        <v>588</v>
      </c>
      <c r="U19" s="1">
        <v>146</v>
      </c>
      <c r="V19" s="1">
        <v>92</v>
      </c>
      <c r="W19" s="1">
        <v>206</v>
      </c>
      <c r="X19" s="1">
        <v>458</v>
      </c>
      <c r="Y19" s="1">
        <v>102</v>
      </c>
      <c r="Z19" s="1">
        <v>162</v>
      </c>
      <c r="AA19" s="1">
        <v>84</v>
      </c>
      <c r="AB19" s="1">
        <v>656</v>
      </c>
      <c r="AC19" s="1">
        <v>758</v>
      </c>
      <c r="AD19" s="1">
        <v>84</v>
      </c>
      <c r="AE19" s="1">
        <v>0</v>
      </c>
      <c r="AF19" s="1">
        <v>150</v>
      </c>
      <c r="AG19" s="1">
        <v>276</v>
      </c>
      <c r="AH19" s="1">
        <v>298</v>
      </c>
      <c r="AI19" s="1">
        <v>508</v>
      </c>
      <c r="AJ19" s="1">
        <v>78</v>
      </c>
      <c r="AK19" s="1">
        <v>2</v>
      </c>
      <c r="AL19" s="1">
        <v>12</v>
      </c>
      <c r="AM19" s="1">
        <v>94</v>
      </c>
      <c r="AN19" s="1">
        <v>62</v>
      </c>
      <c r="AO19" s="1">
        <v>82</v>
      </c>
      <c r="AP19" s="1">
        <v>32</v>
      </c>
      <c r="AQ19" s="1">
        <v>18</v>
      </c>
      <c r="AR19" s="1">
        <v>238</v>
      </c>
      <c r="AS19" s="1">
        <v>28</v>
      </c>
      <c r="AT19" s="1">
        <v>26</v>
      </c>
      <c r="AU19" s="1">
        <v>500</v>
      </c>
      <c r="AV19" s="1">
        <v>52</v>
      </c>
      <c r="AW19" s="1">
        <v>114</v>
      </c>
      <c r="AX19" s="1">
        <v>74</v>
      </c>
      <c r="AY19" s="1">
        <v>0</v>
      </c>
      <c r="AZ19" s="1">
        <v>24</v>
      </c>
      <c r="BA19" s="1">
        <v>12</v>
      </c>
      <c r="BB19" s="1">
        <v>198</v>
      </c>
      <c r="BC19" s="1">
        <v>750</v>
      </c>
      <c r="BD19" s="1">
        <v>640</v>
      </c>
      <c r="BE19" s="1">
        <v>780</v>
      </c>
      <c r="BF19" s="1">
        <v>54</v>
      </c>
      <c r="BG19" s="1">
        <v>230</v>
      </c>
      <c r="BH19" s="1">
        <v>94</v>
      </c>
      <c r="BI19" s="1">
        <v>106</v>
      </c>
      <c r="BJ19" s="1">
        <v>0</v>
      </c>
      <c r="BK19" s="1">
        <v>10</v>
      </c>
      <c r="BL19" s="1">
        <v>94</v>
      </c>
      <c r="BM19" s="1">
        <v>104</v>
      </c>
      <c r="BN19" s="1">
        <v>72</v>
      </c>
      <c r="BO19" s="1">
        <v>176</v>
      </c>
      <c r="BP19" s="1">
        <v>228</v>
      </c>
      <c r="BQ19" s="1">
        <v>148</v>
      </c>
      <c r="BR19" s="1">
        <v>656</v>
      </c>
      <c r="BS19" s="1">
        <v>158</v>
      </c>
      <c r="BT19" s="1">
        <v>86</v>
      </c>
    </row>
    <row r="20" spans="1:72" x14ac:dyDescent="0.25">
      <c r="A20" s="2" t="s">
        <v>92</v>
      </c>
      <c r="B20" s="1">
        <v>3408</v>
      </c>
      <c r="C20" s="1">
        <v>194</v>
      </c>
      <c r="D20" s="1">
        <v>208</v>
      </c>
      <c r="E20" s="1">
        <v>32</v>
      </c>
      <c r="F20" s="1">
        <v>176</v>
      </c>
      <c r="G20" s="1">
        <v>24</v>
      </c>
      <c r="H20" s="1">
        <v>54</v>
      </c>
      <c r="I20" s="1">
        <v>82</v>
      </c>
      <c r="J20" s="1">
        <v>260</v>
      </c>
      <c r="K20" s="1">
        <v>34</v>
      </c>
      <c r="L20" s="1">
        <v>124</v>
      </c>
      <c r="M20" s="1">
        <v>162</v>
      </c>
      <c r="N20" s="1">
        <v>358</v>
      </c>
      <c r="O20" s="1">
        <v>54</v>
      </c>
      <c r="P20" s="1">
        <v>170</v>
      </c>
      <c r="Q20" s="1">
        <v>34</v>
      </c>
      <c r="R20" s="1">
        <v>420</v>
      </c>
      <c r="S20" s="1">
        <v>56</v>
      </c>
      <c r="T20" s="1">
        <v>364</v>
      </c>
      <c r="U20" s="1">
        <v>30</v>
      </c>
      <c r="V20" s="1">
        <v>20</v>
      </c>
      <c r="W20" s="1">
        <v>100</v>
      </c>
      <c r="X20" s="1">
        <v>100</v>
      </c>
      <c r="Y20" s="1">
        <v>62</v>
      </c>
      <c r="Z20" s="1">
        <v>22</v>
      </c>
      <c r="AA20" s="1">
        <v>0</v>
      </c>
      <c r="AB20" s="1">
        <v>302</v>
      </c>
      <c r="AC20" s="1">
        <v>342</v>
      </c>
      <c r="AD20" s="1">
        <v>20</v>
      </c>
      <c r="AE20" s="1">
        <v>36</v>
      </c>
      <c r="AF20" s="1">
        <v>26</v>
      </c>
      <c r="AG20" s="1">
        <v>198</v>
      </c>
      <c r="AH20" s="1">
        <v>180</v>
      </c>
      <c r="AI20" s="1">
        <v>192</v>
      </c>
      <c r="AJ20" s="1">
        <v>46</v>
      </c>
      <c r="AK20" s="1">
        <v>22</v>
      </c>
      <c r="AL20" s="1">
        <v>0</v>
      </c>
      <c r="AM20" s="1">
        <v>18</v>
      </c>
      <c r="AN20" s="1">
        <v>0</v>
      </c>
      <c r="AO20" s="1">
        <v>26</v>
      </c>
      <c r="AP20" s="1">
        <v>38</v>
      </c>
      <c r="AQ20" s="1">
        <v>40</v>
      </c>
      <c r="AR20" s="1">
        <v>6</v>
      </c>
      <c r="AS20" s="1">
        <v>106</v>
      </c>
      <c r="AT20" s="1">
        <v>130</v>
      </c>
      <c r="AU20" s="1">
        <v>608</v>
      </c>
      <c r="AV20" s="1">
        <v>28</v>
      </c>
      <c r="AW20" s="1">
        <v>14</v>
      </c>
      <c r="AX20" s="1">
        <v>50</v>
      </c>
      <c r="AY20" s="1">
        <v>0</v>
      </c>
      <c r="AZ20" s="1">
        <v>30</v>
      </c>
      <c r="BA20" s="1">
        <v>0</v>
      </c>
      <c r="BB20" s="1">
        <v>18</v>
      </c>
      <c r="BC20" s="1">
        <v>346</v>
      </c>
      <c r="BD20" s="1">
        <v>220</v>
      </c>
      <c r="BE20" s="1">
        <v>390</v>
      </c>
      <c r="BF20" s="1">
        <v>64</v>
      </c>
      <c r="BG20" s="1">
        <v>52</v>
      </c>
      <c r="BH20" s="1">
        <v>94</v>
      </c>
      <c r="BI20" s="1">
        <v>52</v>
      </c>
      <c r="BJ20" s="1">
        <v>0</v>
      </c>
      <c r="BK20" s="1">
        <v>22</v>
      </c>
      <c r="BL20" s="1">
        <v>18</v>
      </c>
      <c r="BM20" s="1">
        <v>58</v>
      </c>
      <c r="BN20" s="1">
        <v>136</v>
      </c>
      <c r="BO20" s="1">
        <v>82</v>
      </c>
      <c r="BP20" s="1">
        <v>18</v>
      </c>
      <c r="BQ20" s="1">
        <v>94</v>
      </c>
      <c r="BR20" s="1">
        <v>254</v>
      </c>
      <c r="BS20" s="1">
        <v>180</v>
      </c>
      <c r="BT20" s="1">
        <v>4</v>
      </c>
    </row>
    <row r="21" spans="1:72" x14ac:dyDescent="0.25">
      <c r="A21" s="2" t="s">
        <v>93</v>
      </c>
      <c r="B21" s="1">
        <v>586</v>
      </c>
      <c r="C21" s="1">
        <v>16356</v>
      </c>
      <c r="D21" s="1">
        <v>5508</v>
      </c>
      <c r="E21" s="1">
        <v>342</v>
      </c>
      <c r="F21" s="1">
        <v>2770</v>
      </c>
      <c r="G21" s="1">
        <v>4436</v>
      </c>
      <c r="H21" s="1">
        <v>62</v>
      </c>
      <c r="I21" s="1">
        <v>1158</v>
      </c>
      <c r="J21" s="1">
        <v>14028</v>
      </c>
      <c r="K21" s="1">
        <v>80</v>
      </c>
      <c r="L21" s="1">
        <v>190</v>
      </c>
      <c r="M21" s="1">
        <v>3694</v>
      </c>
      <c r="N21" s="1">
        <v>2620</v>
      </c>
      <c r="O21" s="1">
        <v>2458</v>
      </c>
      <c r="P21" s="1">
        <v>84</v>
      </c>
      <c r="Q21" s="1">
        <v>58</v>
      </c>
      <c r="R21" s="1">
        <v>634</v>
      </c>
      <c r="S21" s="1">
        <v>42</v>
      </c>
      <c r="T21" s="1">
        <v>698</v>
      </c>
      <c r="U21" s="1">
        <v>1396</v>
      </c>
      <c r="V21" s="1">
        <v>2134</v>
      </c>
      <c r="W21" s="1">
        <v>10112</v>
      </c>
      <c r="X21" s="1">
        <v>592</v>
      </c>
      <c r="Y21" s="1">
        <v>552</v>
      </c>
      <c r="Z21" s="1">
        <v>190</v>
      </c>
      <c r="AA21" s="1">
        <v>6</v>
      </c>
      <c r="AB21" s="1">
        <v>3016</v>
      </c>
      <c r="AC21" s="1">
        <v>2778</v>
      </c>
      <c r="AD21" s="1">
        <v>134</v>
      </c>
      <c r="AE21" s="1">
        <v>2662</v>
      </c>
      <c r="AF21" s="1">
        <v>692</v>
      </c>
      <c r="AG21" s="1">
        <v>3340</v>
      </c>
      <c r="AH21" s="1">
        <v>15140</v>
      </c>
      <c r="AI21" s="1">
        <v>5150</v>
      </c>
      <c r="AJ21" s="1">
        <v>254</v>
      </c>
      <c r="AK21" s="1">
        <v>26</v>
      </c>
      <c r="AL21" s="1">
        <v>40</v>
      </c>
      <c r="AM21" s="1">
        <v>384</v>
      </c>
      <c r="AN21" s="1">
        <v>84</v>
      </c>
      <c r="AO21" s="1">
        <v>128</v>
      </c>
      <c r="AP21" s="1">
        <v>80</v>
      </c>
      <c r="AQ21" s="1">
        <v>3514</v>
      </c>
      <c r="AR21" s="1">
        <v>1502</v>
      </c>
      <c r="AS21" s="1">
        <v>1402</v>
      </c>
      <c r="AT21" s="1">
        <v>3156</v>
      </c>
      <c r="AU21" s="1">
        <v>6428</v>
      </c>
      <c r="AV21" s="1">
        <v>234</v>
      </c>
      <c r="AW21" s="1">
        <v>2758</v>
      </c>
      <c r="AX21" s="1">
        <v>1008</v>
      </c>
      <c r="AY21" s="1">
        <v>636</v>
      </c>
      <c r="AZ21" s="1">
        <v>24</v>
      </c>
      <c r="BA21" s="1">
        <v>378</v>
      </c>
      <c r="BB21" s="1">
        <v>488</v>
      </c>
      <c r="BC21" s="1">
        <v>414</v>
      </c>
      <c r="BD21" s="1">
        <v>246</v>
      </c>
      <c r="BE21" s="1">
        <v>538</v>
      </c>
      <c r="BF21" s="1">
        <v>1342</v>
      </c>
      <c r="BG21" s="1">
        <v>5176</v>
      </c>
      <c r="BH21" s="1">
        <v>774</v>
      </c>
      <c r="BI21" s="1">
        <v>22</v>
      </c>
      <c r="BJ21" s="1">
        <v>226</v>
      </c>
      <c r="BK21" s="1">
        <v>64</v>
      </c>
      <c r="BL21" s="1">
        <v>2378</v>
      </c>
      <c r="BM21" s="1">
        <v>268</v>
      </c>
      <c r="BN21" s="1">
        <v>4894</v>
      </c>
      <c r="BO21" s="1">
        <v>636</v>
      </c>
      <c r="BP21" s="1">
        <v>5492</v>
      </c>
      <c r="BQ21" s="1">
        <v>1100</v>
      </c>
      <c r="BR21" s="1">
        <v>142</v>
      </c>
      <c r="BS21" s="1">
        <v>764</v>
      </c>
      <c r="BT21" s="1">
        <v>2266</v>
      </c>
    </row>
    <row r="22" spans="1:72" x14ac:dyDescent="0.25">
      <c r="A22" s="2" t="s">
        <v>94</v>
      </c>
      <c r="B22" s="1">
        <v>364</v>
      </c>
      <c r="C22" s="1">
        <v>15882</v>
      </c>
      <c r="D22" s="1">
        <v>12234</v>
      </c>
      <c r="E22" s="1">
        <v>514</v>
      </c>
      <c r="F22" s="1">
        <v>2566</v>
      </c>
      <c r="G22" s="1">
        <v>1668</v>
      </c>
      <c r="H22" s="1">
        <v>28</v>
      </c>
      <c r="I22" s="1">
        <v>672</v>
      </c>
      <c r="J22" s="1">
        <v>7624</v>
      </c>
      <c r="K22" s="1">
        <v>360</v>
      </c>
      <c r="L22" s="1">
        <v>366</v>
      </c>
      <c r="M22" s="1">
        <v>2524</v>
      </c>
      <c r="N22" s="1">
        <v>4308</v>
      </c>
      <c r="O22" s="1">
        <v>1624</v>
      </c>
      <c r="P22" s="1">
        <v>144</v>
      </c>
      <c r="Q22" s="1">
        <v>54</v>
      </c>
      <c r="R22" s="1">
        <v>552</v>
      </c>
      <c r="S22" s="1">
        <v>26</v>
      </c>
      <c r="T22" s="1">
        <v>1066</v>
      </c>
      <c r="U22" s="1">
        <v>1300</v>
      </c>
      <c r="V22" s="1">
        <v>1906</v>
      </c>
      <c r="W22" s="1">
        <v>5360</v>
      </c>
      <c r="X22" s="1">
        <v>188</v>
      </c>
      <c r="Y22" s="1">
        <v>544</v>
      </c>
      <c r="Z22" s="1">
        <v>178</v>
      </c>
      <c r="AA22" s="1">
        <v>0</v>
      </c>
      <c r="AB22" s="1">
        <v>1518</v>
      </c>
      <c r="AC22" s="1">
        <v>1446</v>
      </c>
      <c r="AD22" s="1">
        <v>54</v>
      </c>
      <c r="AE22" s="1">
        <v>1468</v>
      </c>
      <c r="AF22" s="1">
        <v>530</v>
      </c>
      <c r="AG22" s="1">
        <v>1652</v>
      </c>
      <c r="AH22" s="1">
        <v>6992</v>
      </c>
      <c r="AI22" s="1">
        <v>2808</v>
      </c>
      <c r="AJ22" s="1">
        <v>68</v>
      </c>
      <c r="AK22" s="1">
        <v>26</v>
      </c>
      <c r="AL22" s="1">
        <v>46</v>
      </c>
      <c r="AM22" s="1">
        <v>272</v>
      </c>
      <c r="AN22" s="1">
        <v>154</v>
      </c>
      <c r="AO22" s="1">
        <v>174</v>
      </c>
      <c r="AP22" s="1">
        <v>46</v>
      </c>
      <c r="AQ22" s="1">
        <v>1354</v>
      </c>
      <c r="AR22" s="1">
        <v>552</v>
      </c>
      <c r="AS22" s="1">
        <v>1688</v>
      </c>
      <c r="AT22" s="1">
        <v>2680</v>
      </c>
      <c r="AU22" s="1">
        <v>14540</v>
      </c>
      <c r="AV22" s="1">
        <v>366</v>
      </c>
      <c r="AW22" s="1">
        <v>3794</v>
      </c>
      <c r="AX22" s="1">
        <v>1806</v>
      </c>
      <c r="AY22" s="1">
        <v>1964</v>
      </c>
      <c r="AZ22" s="1">
        <v>16</v>
      </c>
      <c r="BA22" s="1">
        <v>606</v>
      </c>
      <c r="BB22" s="1">
        <v>612</v>
      </c>
      <c r="BC22" s="1">
        <v>566</v>
      </c>
      <c r="BD22" s="1">
        <v>338</v>
      </c>
      <c r="BE22" s="1">
        <v>810</v>
      </c>
      <c r="BF22" s="1">
        <v>3526</v>
      </c>
      <c r="BG22" s="1">
        <v>13710</v>
      </c>
      <c r="BH22" s="1">
        <v>756</v>
      </c>
      <c r="BI22" s="1">
        <v>54</v>
      </c>
      <c r="BJ22" s="1">
        <v>1774</v>
      </c>
      <c r="BK22" s="1">
        <v>48</v>
      </c>
      <c r="BL22" s="1">
        <v>2998</v>
      </c>
      <c r="BM22" s="1">
        <v>230</v>
      </c>
      <c r="BN22" s="1">
        <v>4694</v>
      </c>
      <c r="BO22" s="1">
        <v>512</v>
      </c>
      <c r="BP22" s="1">
        <v>14140</v>
      </c>
      <c r="BQ22" s="1">
        <v>1606</v>
      </c>
      <c r="BR22" s="1">
        <v>192</v>
      </c>
      <c r="BS22" s="1">
        <v>628</v>
      </c>
      <c r="BT22" s="1">
        <v>826</v>
      </c>
    </row>
    <row r="23" spans="1:72" x14ac:dyDescent="0.25">
      <c r="A23" s="2" t="s">
        <v>95</v>
      </c>
      <c r="B23" s="1">
        <v>76</v>
      </c>
      <c r="C23" s="1">
        <v>10480</v>
      </c>
      <c r="D23" s="1">
        <v>24486</v>
      </c>
      <c r="E23" s="1">
        <v>3416</v>
      </c>
      <c r="F23" s="1">
        <v>7808</v>
      </c>
      <c r="G23" s="1">
        <v>2816</v>
      </c>
      <c r="H23" s="1">
        <v>70</v>
      </c>
      <c r="I23" s="1">
        <v>286</v>
      </c>
      <c r="J23" s="1">
        <v>6556</v>
      </c>
      <c r="K23" s="1">
        <v>818</v>
      </c>
      <c r="L23" s="1">
        <v>724</v>
      </c>
      <c r="M23" s="1">
        <v>1680</v>
      </c>
      <c r="N23" s="1">
        <v>146</v>
      </c>
      <c r="O23" s="1">
        <v>8158</v>
      </c>
      <c r="P23" s="1">
        <v>242</v>
      </c>
      <c r="Q23" s="1">
        <v>396</v>
      </c>
      <c r="R23" s="1">
        <v>1018</v>
      </c>
      <c r="S23" s="1">
        <v>390</v>
      </c>
      <c r="T23" s="1">
        <v>3890</v>
      </c>
      <c r="U23" s="1">
        <v>302</v>
      </c>
      <c r="V23" s="1">
        <v>7642</v>
      </c>
      <c r="W23" s="1">
        <v>16004</v>
      </c>
      <c r="X23" s="1">
        <v>228</v>
      </c>
      <c r="Y23" s="1">
        <v>312</v>
      </c>
      <c r="Z23" s="1">
        <v>154</v>
      </c>
      <c r="AA23" s="1">
        <v>198</v>
      </c>
      <c r="AB23" s="1">
        <v>1318</v>
      </c>
      <c r="AC23" s="1">
        <v>1450</v>
      </c>
      <c r="AD23" s="1">
        <v>70</v>
      </c>
      <c r="AE23" s="1">
        <v>24</v>
      </c>
      <c r="AF23" s="1">
        <v>5128</v>
      </c>
      <c r="AG23" s="1">
        <v>1090</v>
      </c>
      <c r="AH23" s="1">
        <v>2062</v>
      </c>
      <c r="AI23" s="1">
        <v>1754</v>
      </c>
      <c r="AJ23" s="1">
        <v>68</v>
      </c>
      <c r="AK23" s="1">
        <v>54</v>
      </c>
      <c r="AL23" s="1">
        <v>46</v>
      </c>
      <c r="AM23" s="1">
        <v>10740</v>
      </c>
      <c r="AN23" s="1">
        <v>82</v>
      </c>
      <c r="AO23" s="1">
        <v>54</v>
      </c>
      <c r="AP23" s="1">
        <v>66</v>
      </c>
      <c r="AQ23" s="1">
        <v>74</v>
      </c>
      <c r="AR23" s="1">
        <v>1362</v>
      </c>
      <c r="AS23" s="1">
        <v>4418</v>
      </c>
      <c r="AT23" s="1">
        <v>4600</v>
      </c>
      <c r="AU23" s="1">
        <v>21354</v>
      </c>
      <c r="AV23" s="1">
        <v>554</v>
      </c>
      <c r="AW23" s="1">
        <v>13020</v>
      </c>
      <c r="AX23" s="1">
        <v>360</v>
      </c>
      <c r="AY23" s="1">
        <v>30</v>
      </c>
      <c r="AZ23" s="1">
        <v>12282</v>
      </c>
      <c r="BA23" s="1">
        <v>454</v>
      </c>
      <c r="BB23" s="1">
        <v>1826</v>
      </c>
      <c r="BC23" s="1">
        <v>822</v>
      </c>
      <c r="BD23" s="1">
        <v>1758</v>
      </c>
      <c r="BE23" s="1">
        <v>10798</v>
      </c>
      <c r="BF23" s="1">
        <v>2038</v>
      </c>
      <c r="BG23" s="1">
        <v>536</v>
      </c>
      <c r="BH23" s="1">
        <v>290</v>
      </c>
      <c r="BI23" s="1">
        <v>604</v>
      </c>
      <c r="BJ23" s="1">
        <v>428</v>
      </c>
      <c r="BK23" s="1">
        <v>11998</v>
      </c>
      <c r="BL23" s="1">
        <v>9774</v>
      </c>
      <c r="BM23" s="1">
        <v>1808</v>
      </c>
      <c r="BN23" s="1">
        <v>20412</v>
      </c>
      <c r="BO23" s="1">
        <v>242</v>
      </c>
      <c r="BP23" s="1">
        <v>1878</v>
      </c>
      <c r="BQ23" s="1">
        <v>2642</v>
      </c>
      <c r="BR23" s="1">
        <v>668</v>
      </c>
      <c r="BS23" s="1">
        <v>998</v>
      </c>
      <c r="BT23" s="1">
        <v>232</v>
      </c>
    </row>
    <row r="24" spans="1:72" x14ac:dyDescent="0.25">
      <c r="A24" s="2" t="s">
        <v>96</v>
      </c>
      <c r="B24" s="1">
        <v>70</v>
      </c>
      <c r="C24" s="1">
        <v>6806</v>
      </c>
      <c r="D24" s="1">
        <v>19836</v>
      </c>
      <c r="E24" s="1">
        <v>2744</v>
      </c>
      <c r="F24" s="1">
        <v>5454</v>
      </c>
      <c r="G24" s="1">
        <v>2070</v>
      </c>
      <c r="H24" s="1">
        <v>90</v>
      </c>
      <c r="I24" s="1">
        <v>380</v>
      </c>
      <c r="J24" s="1">
        <v>8746</v>
      </c>
      <c r="K24" s="1">
        <v>544</v>
      </c>
      <c r="L24" s="1">
        <v>574</v>
      </c>
      <c r="M24" s="1">
        <v>1206</v>
      </c>
      <c r="N24" s="1">
        <v>204</v>
      </c>
      <c r="O24" s="1">
        <v>4700</v>
      </c>
      <c r="P24" s="1">
        <v>240</v>
      </c>
      <c r="Q24" s="1">
        <v>142</v>
      </c>
      <c r="R24" s="1">
        <v>948</v>
      </c>
      <c r="S24" s="1">
        <v>166</v>
      </c>
      <c r="T24" s="1">
        <v>3322</v>
      </c>
      <c r="U24" s="1">
        <v>158</v>
      </c>
      <c r="V24" s="1">
        <v>4292</v>
      </c>
      <c r="W24" s="1">
        <v>9766</v>
      </c>
      <c r="X24" s="1">
        <v>302</v>
      </c>
      <c r="Y24" s="1">
        <v>330</v>
      </c>
      <c r="Z24" s="1">
        <v>174</v>
      </c>
      <c r="AA24" s="1">
        <v>402</v>
      </c>
      <c r="AB24" s="1">
        <v>1448</v>
      </c>
      <c r="AC24" s="1">
        <v>1572</v>
      </c>
      <c r="AD24" s="1">
        <v>76</v>
      </c>
      <c r="AE24" s="1">
        <v>24</v>
      </c>
      <c r="AF24" s="1">
        <v>4266</v>
      </c>
      <c r="AG24" s="1">
        <v>1194</v>
      </c>
      <c r="AH24" s="1">
        <v>1674</v>
      </c>
      <c r="AI24" s="1">
        <v>1426</v>
      </c>
      <c r="AJ24" s="1">
        <v>66</v>
      </c>
      <c r="AK24" s="1">
        <v>78</v>
      </c>
      <c r="AL24" s="1">
        <v>20</v>
      </c>
      <c r="AM24" s="1">
        <v>6292</v>
      </c>
      <c r="AN24" s="1">
        <v>68</v>
      </c>
      <c r="AO24" s="1">
        <v>76</v>
      </c>
      <c r="AP24" s="1">
        <v>66</v>
      </c>
      <c r="AQ24" s="1">
        <v>64</v>
      </c>
      <c r="AR24" s="1">
        <v>1232</v>
      </c>
      <c r="AS24" s="1">
        <v>2342</v>
      </c>
      <c r="AT24" s="1">
        <v>2578</v>
      </c>
      <c r="AU24" s="1">
        <v>14242</v>
      </c>
      <c r="AV24" s="1">
        <v>1516</v>
      </c>
      <c r="AW24" s="1">
        <v>9066</v>
      </c>
      <c r="AX24" s="1">
        <v>282</v>
      </c>
      <c r="AY24" s="1">
        <v>22</v>
      </c>
      <c r="AZ24" s="1">
        <v>9914</v>
      </c>
      <c r="BA24" s="1">
        <v>260</v>
      </c>
      <c r="BB24" s="1">
        <v>804</v>
      </c>
      <c r="BC24" s="1">
        <v>752</v>
      </c>
      <c r="BD24" s="1">
        <v>1104</v>
      </c>
      <c r="BE24" s="1">
        <v>7092</v>
      </c>
      <c r="BF24" s="1">
        <v>1284</v>
      </c>
      <c r="BG24" s="1">
        <v>428</v>
      </c>
      <c r="BH24" s="1">
        <v>352</v>
      </c>
      <c r="BI24" s="1">
        <v>450</v>
      </c>
      <c r="BJ24" s="1">
        <v>342</v>
      </c>
      <c r="BK24" s="1">
        <v>9982</v>
      </c>
      <c r="BL24" s="1">
        <v>6110</v>
      </c>
      <c r="BM24" s="1">
        <v>1690</v>
      </c>
      <c r="BN24" s="1">
        <v>12052</v>
      </c>
      <c r="BO24" s="1">
        <v>168</v>
      </c>
      <c r="BP24" s="1">
        <v>1884</v>
      </c>
      <c r="BQ24" s="1">
        <v>1412</v>
      </c>
      <c r="BR24" s="1">
        <v>892</v>
      </c>
      <c r="BS24" s="1">
        <v>790</v>
      </c>
      <c r="BT24" s="1">
        <v>282</v>
      </c>
    </row>
    <row r="25" spans="1:72" x14ac:dyDescent="0.25">
      <c r="A25" s="2" t="s">
        <v>97</v>
      </c>
      <c r="B25" s="1">
        <v>786</v>
      </c>
      <c r="C25" s="1">
        <v>2554</v>
      </c>
      <c r="D25" s="1">
        <v>51654</v>
      </c>
      <c r="E25" s="1">
        <v>6570</v>
      </c>
      <c r="F25" s="1">
        <v>400</v>
      </c>
      <c r="G25" s="1">
        <v>446</v>
      </c>
      <c r="H25" s="1">
        <v>520</v>
      </c>
      <c r="I25" s="1">
        <v>9202</v>
      </c>
      <c r="J25" s="1">
        <v>3166</v>
      </c>
      <c r="K25" s="1">
        <v>200</v>
      </c>
      <c r="L25" s="1">
        <v>518</v>
      </c>
      <c r="M25" s="1">
        <v>1492</v>
      </c>
      <c r="N25" s="1">
        <v>782</v>
      </c>
      <c r="O25" s="1">
        <v>2704</v>
      </c>
      <c r="P25" s="1">
        <v>1438</v>
      </c>
      <c r="Q25" s="1">
        <v>106</v>
      </c>
      <c r="R25" s="1">
        <v>1986</v>
      </c>
      <c r="S25" s="1">
        <v>86</v>
      </c>
      <c r="T25" s="1">
        <v>1234</v>
      </c>
      <c r="U25" s="1">
        <v>302</v>
      </c>
      <c r="V25" s="1">
        <v>1318</v>
      </c>
      <c r="W25" s="1">
        <v>4922</v>
      </c>
      <c r="X25" s="1">
        <v>13256</v>
      </c>
      <c r="Y25" s="1">
        <v>3050</v>
      </c>
      <c r="Z25" s="1">
        <v>6804</v>
      </c>
      <c r="AA25" s="1">
        <v>76</v>
      </c>
      <c r="AB25" s="1">
        <v>11652</v>
      </c>
      <c r="AC25" s="1">
        <v>13710</v>
      </c>
      <c r="AD25" s="1">
        <v>1314</v>
      </c>
      <c r="AE25" s="1">
        <v>462</v>
      </c>
      <c r="AF25" s="1">
        <v>152</v>
      </c>
      <c r="AG25" s="1">
        <v>2464</v>
      </c>
      <c r="AH25" s="1">
        <v>5106</v>
      </c>
      <c r="AI25" s="1">
        <v>34342</v>
      </c>
      <c r="AJ25" s="1">
        <v>7944</v>
      </c>
      <c r="AK25" s="1">
        <v>464</v>
      </c>
      <c r="AL25" s="1">
        <v>764</v>
      </c>
      <c r="AM25" s="1">
        <v>166</v>
      </c>
      <c r="AN25" s="1">
        <v>358</v>
      </c>
      <c r="AO25" s="1">
        <v>160</v>
      </c>
      <c r="AP25" s="1">
        <v>206</v>
      </c>
      <c r="AQ25" s="1">
        <v>1666</v>
      </c>
      <c r="AR25" s="1">
        <v>6084</v>
      </c>
      <c r="AS25" s="1">
        <v>1686</v>
      </c>
      <c r="AT25" s="1">
        <v>1022</v>
      </c>
      <c r="AU25" s="1">
        <v>3316</v>
      </c>
      <c r="AV25" s="1">
        <v>790</v>
      </c>
      <c r="AW25" s="1">
        <v>56</v>
      </c>
      <c r="AX25" s="1">
        <v>26</v>
      </c>
      <c r="AY25" s="1">
        <v>84</v>
      </c>
      <c r="AZ25" s="1">
        <v>418</v>
      </c>
      <c r="BA25" s="1">
        <v>1028</v>
      </c>
      <c r="BB25" s="1">
        <v>24838</v>
      </c>
      <c r="BC25" s="1">
        <v>246</v>
      </c>
      <c r="BD25" s="1">
        <v>296</v>
      </c>
      <c r="BE25" s="1">
        <v>538</v>
      </c>
      <c r="BF25" s="1">
        <v>6742</v>
      </c>
      <c r="BG25" s="1">
        <v>1076</v>
      </c>
      <c r="BH25" s="1">
        <v>6838</v>
      </c>
      <c r="BI25" s="1">
        <v>94</v>
      </c>
      <c r="BJ25" s="1">
        <v>1962</v>
      </c>
      <c r="BK25" s="1">
        <v>308</v>
      </c>
      <c r="BL25" s="1">
        <v>244</v>
      </c>
      <c r="BM25" s="1">
        <v>108</v>
      </c>
      <c r="BN25" s="1">
        <v>268</v>
      </c>
      <c r="BO25" s="1">
        <v>2528</v>
      </c>
      <c r="BP25" s="1">
        <v>312</v>
      </c>
      <c r="BQ25" s="1">
        <v>2298</v>
      </c>
      <c r="BR25" s="1">
        <v>206</v>
      </c>
      <c r="BS25" s="1">
        <v>5572</v>
      </c>
      <c r="BT25" s="1">
        <v>5408</v>
      </c>
    </row>
    <row r="26" spans="1:72" x14ac:dyDescent="0.25">
      <c r="A26" s="2" t="s">
        <v>98</v>
      </c>
      <c r="B26" s="1">
        <v>3768</v>
      </c>
      <c r="C26" s="1">
        <v>4378</v>
      </c>
      <c r="D26" s="1">
        <v>11348</v>
      </c>
      <c r="E26" s="1">
        <v>1998</v>
      </c>
      <c r="F26" s="1">
        <v>21140</v>
      </c>
      <c r="G26" s="1">
        <v>970</v>
      </c>
      <c r="H26" s="1">
        <v>132</v>
      </c>
      <c r="I26" s="1">
        <v>416</v>
      </c>
      <c r="J26" s="1">
        <v>15722</v>
      </c>
      <c r="K26" s="1">
        <v>276</v>
      </c>
      <c r="L26" s="1">
        <v>810</v>
      </c>
      <c r="M26" s="1">
        <v>538</v>
      </c>
      <c r="N26" s="1">
        <v>370</v>
      </c>
      <c r="O26" s="1">
        <v>302</v>
      </c>
      <c r="P26" s="1">
        <v>454</v>
      </c>
      <c r="Q26" s="1">
        <v>46</v>
      </c>
      <c r="R26" s="1">
        <v>196</v>
      </c>
      <c r="S26" s="1">
        <v>52</v>
      </c>
      <c r="T26" s="1">
        <v>1126</v>
      </c>
      <c r="U26" s="1">
        <v>270</v>
      </c>
      <c r="V26" s="1">
        <v>1108</v>
      </c>
      <c r="W26" s="1">
        <v>2296</v>
      </c>
      <c r="X26" s="1">
        <v>352</v>
      </c>
      <c r="Y26" s="1">
        <v>312</v>
      </c>
      <c r="Z26" s="1">
        <v>388</v>
      </c>
      <c r="AA26" s="1">
        <v>28</v>
      </c>
      <c r="AB26" s="1">
        <v>1864</v>
      </c>
      <c r="AC26" s="1">
        <v>2250</v>
      </c>
      <c r="AD26" s="1">
        <v>140</v>
      </c>
      <c r="AE26" s="1">
        <v>246</v>
      </c>
      <c r="AF26" s="1">
        <v>276</v>
      </c>
      <c r="AG26" s="1">
        <v>3556</v>
      </c>
      <c r="AH26" s="1">
        <v>1970</v>
      </c>
      <c r="AI26" s="1">
        <v>1922</v>
      </c>
      <c r="AJ26" s="1">
        <v>1252</v>
      </c>
      <c r="AK26" s="1">
        <v>124</v>
      </c>
      <c r="AL26" s="1">
        <v>1270</v>
      </c>
      <c r="AM26" s="1">
        <v>3242</v>
      </c>
      <c r="AN26" s="1">
        <v>1592</v>
      </c>
      <c r="AO26" s="1">
        <v>72</v>
      </c>
      <c r="AP26" s="1">
        <v>318</v>
      </c>
      <c r="AQ26" s="1">
        <v>44</v>
      </c>
      <c r="AR26" s="1">
        <v>4628</v>
      </c>
      <c r="AS26" s="1">
        <v>2982</v>
      </c>
      <c r="AT26" s="1">
        <v>1334</v>
      </c>
      <c r="AU26" s="1">
        <v>4262</v>
      </c>
      <c r="AV26" s="1">
        <v>168</v>
      </c>
      <c r="AW26" s="1">
        <v>4182</v>
      </c>
      <c r="AX26" s="1">
        <v>186</v>
      </c>
      <c r="AY26" s="1">
        <v>38</v>
      </c>
      <c r="AZ26" s="1">
        <v>714</v>
      </c>
      <c r="BA26" s="1">
        <v>324</v>
      </c>
      <c r="BB26" s="1">
        <v>140</v>
      </c>
      <c r="BC26" s="1">
        <v>1246</v>
      </c>
      <c r="BD26" s="1">
        <v>818</v>
      </c>
      <c r="BE26" s="1">
        <v>7056</v>
      </c>
      <c r="BF26" s="1">
        <v>1876</v>
      </c>
      <c r="BG26" s="1">
        <v>1852</v>
      </c>
      <c r="BH26" s="1">
        <v>494</v>
      </c>
      <c r="BI26" s="1">
        <v>416</v>
      </c>
      <c r="BJ26" s="1">
        <v>1200</v>
      </c>
      <c r="BK26" s="1">
        <v>756</v>
      </c>
      <c r="BL26" s="1">
        <v>1772</v>
      </c>
      <c r="BM26" s="1">
        <v>350</v>
      </c>
      <c r="BN26" s="1">
        <v>20076</v>
      </c>
      <c r="BO26" s="1">
        <v>130</v>
      </c>
      <c r="BP26" s="1">
        <v>3392</v>
      </c>
      <c r="BQ26" s="1">
        <v>792</v>
      </c>
      <c r="BR26" s="1">
        <v>788</v>
      </c>
      <c r="BS26" s="1">
        <v>906</v>
      </c>
      <c r="BT26" s="1">
        <v>280</v>
      </c>
    </row>
    <row r="27" spans="1:72" x14ac:dyDescent="0.25">
      <c r="A27" s="2" t="s">
        <v>99</v>
      </c>
      <c r="B27" s="1">
        <v>390</v>
      </c>
      <c r="C27" s="1">
        <v>20496</v>
      </c>
      <c r="D27" s="1">
        <v>11206</v>
      </c>
      <c r="E27" s="1">
        <v>950</v>
      </c>
      <c r="F27" s="1">
        <v>24974</v>
      </c>
      <c r="G27" s="1">
        <v>2396</v>
      </c>
      <c r="H27" s="1">
        <v>282</v>
      </c>
      <c r="I27" s="1">
        <v>2582</v>
      </c>
      <c r="J27" s="1">
        <v>7918</v>
      </c>
      <c r="K27" s="1">
        <v>358</v>
      </c>
      <c r="L27" s="1">
        <v>1750</v>
      </c>
      <c r="M27" s="1">
        <v>3074</v>
      </c>
      <c r="N27" s="1">
        <v>2278</v>
      </c>
      <c r="O27" s="1">
        <v>1684</v>
      </c>
      <c r="P27" s="1">
        <v>1676</v>
      </c>
      <c r="Q27" s="1">
        <v>476</v>
      </c>
      <c r="R27" s="1">
        <v>668</v>
      </c>
      <c r="S27" s="1">
        <v>818</v>
      </c>
      <c r="T27" s="1">
        <v>4536</v>
      </c>
      <c r="U27" s="1">
        <v>1562</v>
      </c>
      <c r="V27" s="1">
        <v>1290</v>
      </c>
      <c r="W27" s="1">
        <v>3146</v>
      </c>
      <c r="X27" s="1">
        <v>2178</v>
      </c>
      <c r="Y27" s="1">
        <v>1724</v>
      </c>
      <c r="Z27" s="1">
        <v>886</v>
      </c>
      <c r="AA27" s="1">
        <v>172</v>
      </c>
      <c r="AB27" s="1">
        <v>16366</v>
      </c>
      <c r="AC27" s="1">
        <v>18968</v>
      </c>
      <c r="AD27" s="1">
        <v>690</v>
      </c>
      <c r="AE27" s="1">
        <v>490</v>
      </c>
      <c r="AF27" s="1">
        <v>358</v>
      </c>
      <c r="AG27" s="1">
        <v>4062</v>
      </c>
      <c r="AH27" s="1">
        <v>8192</v>
      </c>
      <c r="AI27" s="1">
        <v>6282</v>
      </c>
      <c r="AJ27" s="1">
        <v>1262</v>
      </c>
      <c r="AK27" s="1">
        <v>230</v>
      </c>
      <c r="AL27" s="1">
        <v>492</v>
      </c>
      <c r="AM27" s="1">
        <v>642</v>
      </c>
      <c r="AN27" s="1">
        <v>4800</v>
      </c>
      <c r="AO27" s="1">
        <v>380</v>
      </c>
      <c r="AP27" s="1">
        <v>322</v>
      </c>
      <c r="AQ27" s="1">
        <v>2558</v>
      </c>
      <c r="AR27" s="1">
        <v>8020</v>
      </c>
      <c r="AS27" s="1">
        <v>4684</v>
      </c>
      <c r="AT27" s="1">
        <v>11116</v>
      </c>
      <c r="AU27" s="1">
        <v>14446</v>
      </c>
      <c r="AV27" s="1">
        <v>324</v>
      </c>
      <c r="AW27" s="1">
        <v>7526</v>
      </c>
      <c r="AX27" s="1">
        <v>2236</v>
      </c>
      <c r="AY27" s="1">
        <v>8</v>
      </c>
      <c r="AZ27" s="1">
        <v>414</v>
      </c>
      <c r="BA27" s="1">
        <v>470</v>
      </c>
      <c r="BB27" s="1">
        <v>2620</v>
      </c>
      <c r="BC27" s="1">
        <v>1432</v>
      </c>
      <c r="BD27" s="1">
        <v>2022</v>
      </c>
      <c r="BE27" s="1">
        <v>5916</v>
      </c>
      <c r="BF27" s="1">
        <v>3116</v>
      </c>
      <c r="BG27" s="1">
        <v>2088</v>
      </c>
      <c r="BH27" s="1">
        <v>5034</v>
      </c>
      <c r="BI27" s="1">
        <v>2014</v>
      </c>
      <c r="BJ27" s="1">
        <v>1188</v>
      </c>
      <c r="BK27" s="1">
        <v>1062</v>
      </c>
      <c r="BL27" s="1">
        <v>7708</v>
      </c>
      <c r="BM27" s="1">
        <v>1868</v>
      </c>
      <c r="BN27" s="1">
        <v>19538</v>
      </c>
      <c r="BO27" s="1">
        <v>730</v>
      </c>
      <c r="BP27" s="1">
        <v>5280</v>
      </c>
      <c r="BQ27" s="1">
        <v>2570</v>
      </c>
      <c r="BR27" s="1">
        <v>424</v>
      </c>
      <c r="BS27" s="1">
        <v>1920</v>
      </c>
      <c r="BT27" s="1">
        <v>1354</v>
      </c>
    </row>
    <row r="28" spans="1:72" x14ac:dyDescent="0.25">
      <c r="A28" s="2" t="s">
        <v>100</v>
      </c>
      <c r="B28" s="1">
        <v>564</v>
      </c>
      <c r="C28" s="1">
        <v>8124</v>
      </c>
      <c r="D28" s="1">
        <v>16358</v>
      </c>
      <c r="E28" s="1">
        <v>1604</v>
      </c>
      <c r="F28" s="1">
        <v>20940</v>
      </c>
      <c r="G28" s="1">
        <v>1672</v>
      </c>
      <c r="H28" s="1">
        <v>174</v>
      </c>
      <c r="I28" s="1">
        <v>2894</v>
      </c>
      <c r="J28" s="1">
        <v>6100</v>
      </c>
      <c r="K28" s="1">
        <v>464</v>
      </c>
      <c r="L28" s="1">
        <v>1264</v>
      </c>
      <c r="M28" s="1">
        <v>1006</v>
      </c>
      <c r="N28" s="1">
        <v>1538</v>
      </c>
      <c r="O28" s="1">
        <v>898</v>
      </c>
      <c r="P28" s="1">
        <v>1270</v>
      </c>
      <c r="Q28" s="1">
        <v>166</v>
      </c>
      <c r="R28" s="1">
        <v>982</v>
      </c>
      <c r="S28" s="1">
        <v>244</v>
      </c>
      <c r="T28" s="1">
        <v>1750</v>
      </c>
      <c r="U28" s="1">
        <v>610</v>
      </c>
      <c r="V28" s="1">
        <v>864</v>
      </c>
      <c r="W28" s="1">
        <v>4090</v>
      </c>
      <c r="X28" s="1">
        <v>2306</v>
      </c>
      <c r="Y28" s="1">
        <v>3832</v>
      </c>
      <c r="Z28" s="1">
        <v>1778</v>
      </c>
      <c r="AA28" s="1">
        <v>170</v>
      </c>
      <c r="AB28" s="1">
        <v>9468</v>
      </c>
      <c r="AC28" s="1">
        <v>11544</v>
      </c>
      <c r="AD28" s="1">
        <v>290</v>
      </c>
      <c r="AE28" s="1">
        <v>758</v>
      </c>
      <c r="AF28" s="1">
        <v>536</v>
      </c>
      <c r="AG28" s="1">
        <v>5170</v>
      </c>
      <c r="AH28" s="1">
        <v>9196</v>
      </c>
      <c r="AI28" s="1">
        <v>11902</v>
      </c>
      <c r="AJ28" s="1">
        <v>948</v>
      </c>
      <c r="AK28" s="1">
        <v>680</v>
      </c>
      <c r="AL28" s="1">
        <v>308</v>
      </c>
      <c r="AM28" s="1">
        <v>926</v>
      </c>
      <c r="AN28" s="1">
        <v>1608</v>
      </c>
      <c r="AO28" s="1">
        <v>594</v>
      </c>
      <c r="AP28" s="1">
        <v>504</v>
      </c>
      <c r="AQ28" s="1">
        <v>1118</v>
      </c>
      <c r="AR28" s="1">
        <v>8370</v>
      </c>
      <c r="AS28" s="1">
        <v>3262</v>
      </c>
      <c r="AT28" s="1">
        <v>1716</v>
      </c>
      <c r="AU28" s="1">
        <v>3462</v>
      </c>
      <c r="AV28" s="1">
        <v>358</v>
      </c>
      <c r="AW28" s="1">
        <v>1032</v>
      </c>
      <c r="AX28" s="1">
        <v>324</v>
      </c>
      <c r="AY28" s="1">
        <v>4</v>
      </c>
      <c r="AZ28" s="1">
        <v>986</v>
      </c>
      <c r="BA28" s="1">
        <v>172</v>
      </c>
      <c r="BB28" s="1">
        <v>756</v>
      </c>
      <c r="BC28" s="1">
        <v>868</v>
      </c>
      <c r="BD28" s="1">
        <v>1118</v>
      </c>
      <c r="BE28" s="1">
        <v>1750</v>
      </c>
      <c r="BF28" s="1">
        <v>1746</v>
      </c>
      <c r="BG28" s="1">
        <v>1264</v>
      </c>
      <c r="BH28" s="1">
        <v>2936</v>
      </c>
      <c r="BI28" s="1">
        <v>232</v>
      </c>
      <c r="BJ28" s="1">
        <v>274</v>
      </c>
      <c r="BK28" s="1">
        <v>1794</v>
      </c>
      <c r="BL28" s="1">
        <v>746</v>
      </c>
      <c r="BM28" s="1">
        <v>520</v>
      </c>
      <c r="BN28" s="1">
        <v>1664</v>
      </c>
      <c r="BO28" s="1">
        <v>958</v>
      </c>
      <c r="BP28" s="1">
        <v>3588</v>
      </c>
      <c r="BQ28" s="1">
        <v>846</v>
      </c>
      <c r="BR28" s="1">
        <v>306</v>
      </c>
      <c r="BS28" s="1">
        <v>1334</v>
      </c>
      <c r="BT28" s="1">
        <v>1740</v>
      </c>
    </row>
    <row r="29" spans="1:72" x14ac:dyDescent="0.25">
      <c r="A29" s="2" t="s">
        <v>101</v>
      </c>
      <c r="B29" s="1">
        <v>350</v>
      </c>
      <c r="C29" s="1">
        <v>6114</v>
      </c>
      <c r="D29" s="1">
        <v>9160</v>
      </c>
      <c r="E29" s="1">
        <v>484</v>
      </c>
      <c r="F29" s="1">
        <v>6502</v>
      </c>
      <c r="G29" s="1">
        <v>308</v>
      </c>
      <c r="H29" s="1">
        <v>150</v>
      </c>
      <c r="I29" s="1">
        <v>1098</v>
      </c>
      <c r="J29" s="1">
        <v>8850</v>
      </c>
      <c r="K29" s="1">
        <v>918</v>
      </c>
      <c r="L29" s="1">
        <v>706</v>
      </c>
      <c r="M29" s="1">
        <v>390</v>
      </c>
      <c r="N29" s="1">
        <v>268</v>
      </c>
      <c r="O29" s="1">
        <v>3638</v>
      </c>
      <c r="P29" s="1">
        <v>254</v>
      </c>
      <c r="Q29" s="1">
        <v>66</v>
      </c>
      <c r="R29" s="1">
        <v>616</v>
      </c>
      <c r="S29" s="1">
        <v>94</v>
      </c>
      <c r="T29" s="1">
        <v>586</v>
      </c>
      <c r="U29" s="1">
        <v>312</v>
      </c>
      <c r="V29" s="1">
        <v>3190</v>
      </c>
      <c r="W29" s="1">
        <v>6074</v>
      </c>
      <c r="X29" s="1">
        <v>628</v>
      </c>
      <c r="Y29" s="1">
        <v>672</v>
      </c>
      <c r="Z29" s="1">
        <v>342</v>
      </c>
      <c r="AA29" s="1">
        <v>50</v>
      </c>
      <c r="AB29" s="1">
        <v>822</v>
      </c>
      <c r="AC29" s="1">
        <v>922</v>
      </c>
      <c r="AD29" s="1">
        <v>74</v>
      </c>
      <c r="AE29" s="1">
        <v>138</v>
      </c>
      <c r="AF29" s="1">
        <v>210</v>
      </c>
      <c r="AG29" s="1">
        <v>1130</v>
      </c>
      <c r="AH29" s="1">
        <v>2014</v>
      </c>
      <c r="AI29" s="1">
        <v>1736</v>
      </c>
      <c r="AJ29" s="1">
        <v>602</v>
      </c>
      <c r="AK29" s="1">
        <v>74</v>
      </c>
      <c r="AL29" s="1">
        <v>272</v>
      </c>
      <c r="AM29" s="1">
        <v>458</v>
      </c>
      <c r="AN29" s="1">
        <v>4466</v>
      </c>
      <c r="AO29" s="1">
        <v>46</v>
      </c>
      <c r="AP29" s="1">
        <v>104</v>
      </c>
      <c r="AQ29" s="1">
        <v>1898</v>
      </c>
      <c r="AR29" s="1">
        <v>784</v>
      </c>
      <c r="AS29" s="1">
        <v>6372</v>
      </c>
      <c r="AT29" s="1">
        <v>21696</v>
      </c>
      <c r="AU29" s="1">
        <v>11428</v>
      </c>
      <c r="AV29" s="1">
        <v>226</v>
      </c>
      <c r="AW29" s="1">
        <v>9582</v>
      </c>
      <c r="AX29" s="1">
        <v>1316</v>
      </c>
      <c r="AY29" s="1">
        <v>48</v>
      </c>
      <c r="AZ29" s="1">
        <v>108</v>
      </c>
      <c r="BA29" s="1">
        <v>398</v>
      </c>
      <c r="BB29" s="1">
        <v>1848</v>
      </c>
      <c r="BC29" s="1">
        <v>492</v>
      </c>
      <c r="BD29" s="1">
        <v>494</v>
      </c>
      <c r="BE29" s="1">
        <v>1036</v>
      </c>
      <c r="BF29" s="1">
        <v>3118</v>
      </c>
      <c r="BG29" s="1">
        <v>676</v>
      </c>
      <c r="BH29" s="1">
        <v>1834</v>
      </c>
      <c r="BI29" s="1">
        <v>508</v>
      </c>
      <c r="BJ29" s="1">
        <v>688</v>
      </c>
      <c r="BK29" s="1">
        <v>286</v>
      </c>
      <c r="BL29" s="1">
        <v>5150</v>
      </c>
      <c r="BM29" s="1">
        <v>150</v>
      </c>
      <c r="BN29" s="1">
        <v>16852</v>
      </c>
      <c r="BO29" s="1">
        <v>666</v>
      </c>
      <c r="BP29" s="1">
        <v>5194</v>
      </c>
      <c r="BQ29" s="1">
        <v>3244</v>
      </c>
      <c r="BR29" s="1">
        <v>118</v>
      </c>
      <c r="BS29" s="1">
        <v>418</v>
      </c>
      <c r="BT29" s="1">
        <v>436</v>
      </c>
    </row>
    <row r="32" spans="1:72" x14ac:dyDescent="0.25">
      <c r="A32" s="2" t="s">
        <v>0</v>
      </c>
      <c r="B32" s="2" t="s">
        <v>1</v>
      </c>
      <c r="C32" s="2" t="s">
        <v>2</v>
      </c>
      <c r="D32" s="2" t="s">
        <v>3</v>
      </c>
      <c r="E32" s="2" t="s">
        <v>4</v>
      </c>
      <c r="F32" s="2" t="s">
        <v>5</v>
      </c>
      <c r="G32" s="2" t="s">
        <v>6</v>
      </c>
      <c r="H32" s="2" t="s">
        <v>7</v>
      </c>
      <c r="I32" s="2" t="s">
        <v>8</v>
      </c>
      <c r="J32" s="2" t="s">
        <v>9</v>
      </c>
      <c r="K32" s="2" t="s">
        <v>10</v>
      </c>
      <c r="L32" s="2" t="s">
        <v>11</v>
      </c>
      <c r="M32" s="2" t="s">
        <v>12</v>
      </c>
      <c r="N32" s="2" t="s">
        <v>13</v>
      </c>
      <c r="O32" s="2" t="s">
        <v>14</v>
      </c>
      <c r="P32" s="2" t="s">
        <v>15</v>
      </c>
      <c r="Q32" s="2" t="s">
        <v>16</v>
      </c>
      <c r="R32" s="2" t="s">
        <v>17</v>
      </c>
      <c r="S32" s="2" t="s">
        <v>18</v>
      </c>
      <c r="T32" s="2" t="s">
        <v>19</v>
      </c>
      <c r="U32" s="2" t="s">
        <v>20</v>
      </c>
      <c r="V32" s="2" t="s">
        <v>21</v>
      </c>
      <c r="W32" s="2" t="s">
        <v>22</v>
      </c>
      <c r="X32" s="2" t="s">
        <v>23</v>
      </c>
      <c r="Y32" s="2" t="s">
        <v>24</v>
      </c>
      <c r="Z32" s="2" t="s">
        <v>25</v>
      </c>
      <c r="AA32" s="2" t="s">
        <v>26</v>
      </c>
      <c r="AB32" s="2" t="s">
        <v>27</v>
      </c>
      <c r="AC32" s="2" t="s">
        <v>28</v>
      </c>
      <c r="AD32" s="2" t="s">
        <v>29</v>
      </c>
      <c r="AE32" s="2" t="s">
        <v>30</v>
      </c>
      <c r="AF32" s="2" t="s">
        <v>31</v>
      </c>
      <c r="AG32" s="2" t="s">
        <v>33</v>
      </c>
      <c r="AH32" s="2" t="s">
        <v>34</v>
      </c>
      <c r="AI32" s="2" t="s">
        <v>35</v>
      </c>
      <c r="AJ32" s="2" t="s">
        <v>36</v>
      </c>
      <c r="AK32" s="2" t="s">
        <v>37</v>
      </c>
      <c r="AL32" s="2" t="s">
        <v>38</v>
      </c>
      <c r="AM32" s="2" t="s">
        <v>39</v>
      </c>
      <c r="AN32" s="2" t="s">
        <v>40</v>
      </c>
      <c r="AO32" s="2" t="s">
        <v>41</v>
      </c>
      <c r="AP32" s="2" t="s">
        <v>42</v>
      </c>
      <c r="AQ32" s="2" t="s">
        <v>43</v>
      </c>
      <c r="AR32" s="2" t="s">
        <v>44</v>
      </c>
      <c r="AS32" s="2" t="s">
        <v>45</v>
      </c>
      <c r="AT32" s="2" t="s">
        <v>46</v>
      </c>
      <c r="AU32" s="2" t="s">
        <v>47</v>
      </c>
      <c r="AV32" s="2" t="s">
        <v>48</v>
      </c>
      <c r="AW32" s="2" t="s">
        <v>49</v>
      </c>
      <c r="AX32" s="2" t="s">
        <v>50</v>
      </c>
      <c r="AY32" s="2" t="s">
        <v>51</v>
      </c>
      <c r="AZ32" s="2" t="s">
        <v>52</v>
      </c>
      <c r="BA32" s="2" t="s">
        <v>53</v>
      </c>
      <c r="BB32" s="2" t="s">
        <v>54</v>
      </c>
      <c r="BC32" s="2" t="s">
        <v>55</v>
      </c>
      <c r="BD32" s="2" t="s">
        <v>56</v>
      </c>
      <c r="BE32" s="2" t="s">
        <v>57</v>
      </c>
      <c r="BF32" s="2" t="s">
        <v>58</v>
      </c>
      <c r="BG32" s="2" t="s">
        <v>59</v>
      </c>
      <c r="BH32" s="2" t="s">
        <v>60</v>
      </c>
      <c r="BI32" s="2" t="s">
        <v>61</v>
      </c>
      <c r="BJ32" s="2" t="s">
        <v>62</v>
      </c>
      <c r="BK32" s="2" t="s">
        <v>63</v>
      </c>
      <c r="BL32" s="2" t="s">
        <v>64</v>
      </c>
      <c r="BM32" s="2" t="s">
        <v>65</v>
      </c>
      <c r="BN32" s="2" t="s">
        <v>66</v>
      </c>
      <c r="BO32" s="2" t="s">
        <v>67</v>
      </c>
      <c r="BP32" s="2" t="s">
        <v>68</v>
      </c>
      <c r="BQ32" s="2" t="s">
        <v>69</v>
      </c>
      <c r="BR32" s="2" t="s">
        <v>70</v>
      </c>
      <c r="BS32" s="2" t="s">
        <v>71</v>
      </c>
      <c r="BT32" s="2" t="s">
        <v>72</v>
      </c>
    </row>
    <row r="33" spans="1:72" x14ac:dyDescent="0.25">
      <c r="A33" s="2" t="s">
        <v>74</v>
      </c>
      <c r="B33" s="1">
        <f>LOG(B2+1)</f>
        <v>1.968482948553935</v>
      </c>
      <c r="C33" s="1">
        <f t="shared" ref="C33:BN34" si="0">LOG(C2+1)</f>
        <v>3.7931615292455509</v>
      </c>
      <c r="D33" s="1">
        <f t="shared" si="0"/>
        <v>4.3038221998628474</v>
      </c>
      <c r="E33" s="1">
        <f t="shared" si="0"/>
        <v>3.4385423487861106</v>
      </c>
      <c r="F33" s="1">
        <f t="shared" si="0"/>
        <v>3.8178957571617955</v>
      </c>
      <c r="G33" s="1">
        <f t="shared" si="0"/>
        <v>3.35237549500052</v>
      </c>
      <c r="H33" s="1">
        <f t="shared" si="0"/>
        <v>2.0043213737826426</v>
      </c>
      <c r="I33" s="1">
        <f t="shared" si="0"/>
        <v>2.4232458739368079</v>
      </c>
      <c r="J33" s="1">
        <f t="shared" si="0"/>
        <v>3.9056340013269546</v>
      </c>
      <c r="K33" s="1">
        <f t="shared" si="0"/>
        <v>2.9153998352122699</v>
      </c>
      <c r="L33" s="1">
        <f t="shared" si="0"/>
        <v>2.399673721481038</v>
      </c>
      <c r="M33" s="1">
        <f t="shared" si="0"/>
        <v>2.8615344108590377</v>
      </c>
      <c r="N33" s="1">
        <f t="shared" si="0"/>
        <v>2.0827853703164503</v>
      </c>
      <c r="O33" s="1">
        <f t="shared" si="0"/>
        <v>3.2271150825891253</v>
      </c>
      <c r="P33" s="1">
        <f t="shared" si="0"/>
        <v>2.0827853703164503</v>
      </c>
      <c r="Q33" s="1">
        <f t="shared" si="0"/>
        <v>1.8260748027008264</v>
      </c>
      <c r="R33" s="1">
        <f t="shared" si="0"/>
        <v>2.514547752660286</v>
      </c>
      <c r="S33" s="1">
        <f t="shared" si="0"/>
        <v>1.9956351945975499</v>
      </c>
      <c r="T33" s="1">
        <f t="shared" si="0"/>
        <v>3.3741982579290828</v>
      </c>
      <c r="U33" s="1">
        <f t="shared" si="0"/>
        <v>2.2855573090077739</v>
      </c>
      <c r="V33" s="1">
        <f t="shared" si="0"/>
        <v>3.1075491297446862</v>
      </c>
      <c r="W33" s="1">
        <f t="shared" si="0"/>
        <v>3.5597869682005565</v>
      </c>
      <c r="X33" s="1">
        <f t="shared" si="0"/>
        <v>2.1367205671564067</v>
      </c>
      <c r="Y33" s="1">
        <f t="shared" si="0"/>
        <v>2.4487063199050798</v>
      </c>
      <c r="Z33" s="1">
        <f t="shared" si="0"/>
        <v>2.167317334748176</v>
      </c>
      <c r="AA33" s="1">
        <f t="shared" si="0"/>
        <v>2.2855573090077739</v>
      </c>
      <c r="AB33" s="1">
        <f t="shared" si="0"/>
        <v>3.0021660617565078</v>
      </c>
      <c r="AC33" s="1">
        <f t="shared" si="0"/>
        <v>3.0441476208787228</v>
      </c>
      <c r="AD33" s="1">
        <f t="shared" si="0"/>
        <v>1.7075701760979363</v>
      </c>
      <c r="AE33" s="1">
        <f t="shared" si="0"/>
        <v>1.6334684555795864</v>
      </c>
      <c r="AF33" s="1">
        <f t="shared" si="0"/>
        <v>3.5862496388660419</v>
      </c>
      <c r="AG33" s="1">
        <f t="shared" si="0"/>
        <v>3.0281644194244697</v>
      </c>
      <c r="AH33" s="1">
        <f t="shared" si="0"/>
        <v>2.6541765418779604</v>
      </c>
      <c r="AI33" s="1">
        <f t="shared" si="0"/>
        <v>2.6541765418779604</v>
      </c>
      <c r="AJ33" s="1">
        <f t="shared" si="0"/>
        <v>1.9084850188786497</v>
      </c>
      <c r="AK33" s="1">
        <f t="shared" si="0"/>
        <v>1.8750612633917001</v>
      </c>
      <c r="AL33" s="1">
        <f t="shared" si="0"/>
        <v>1.5185139398778875</v>
      </c>
      <c r="AM33" s="1">
        <f t="shared" si="0"/>
        <v>2.406540180433955</v>
      </c>
      <c r="AN33" s="1">
        <f t="shared" si="0"/>
        <v>1.6901960800285136</v>
      </c>
      <c r="AO33" s="1">
        <f t="shared" si="0"/>
        <v>1.9294189257142926</v>
      </c>
      <c r="AP33" s="1">
        <f t="shared" si="0"/>
        <v>1.7242758696007889</v>
      </c>
      <c r="AQ33" s="1">
        <f t="shared" si="0"/>
        <v>1.2304489213782739</v>
      </c>
      <c r="AR33" s="1">
        <f t="shared" si="0"/>
        <v>2.9079485216122722</v>
      </c>
      <c r="AS33" s="1">
        <f t="shared" si="0"/>
        <v>3.6315452278343092</v>
      </c>
      <c r="AT33" s="1">
        <f t="shared" si="0"/>
        <v>3.5595475555804343</v>
      </c>
      <c r="AU33" s="1">
        <f t="shared" si="0"/>
        <v>4.2439057702175216</v>
      </c>
      <c r="AV33" s="1">
        <f t="shared" si="0"/>
        <v>2.9556877503135057</v>
      </c>
      <c r="AW33" s="1">
        <f t="shared" si="0"/>
        <v>4.0846834979032502</v>
      </c>
      <c r="AX33" s="1">
        <f t="shared" si="0"/>
        <v>2.8162412999917832</v>
      </c>
      <c r="AY33" s="1">
        <f t="shared" si="0"/>
        <v>1.2304489213782739</v>
      </c>
      <c r="AZ33" s="1">
        <f t="shared" si="0"/>
        <v>4.302309278369985</v>
      </c>
      <c r="BA33" s="1">
        <f t="shared" si="0"/>
        <v>2.6928469192772302</v>
      </c>
      <c r="BB33" s="1">
        <f t="shared" si="0"/>
        <v>2.9781805169374138</v>
      </c>
      <c r="BC33" s="1">
        <f t="shared" si="0"/>
        <v>2.9508514588885464</v>
      </c>
      <c r="BD33" s="1">
        <f t="shared" si="0"/>
        <v>3.1061908972634154</v>
      </c>
      <c r="BE33" s="1">
        <f t="shared" si="0"/>
        <v>4.1186945078978381</v>
      </c>
      <c r="BF33" s="1">
        <f t="shared" si="0"/>
        <v>3.4299136977637543</v>
      </c>
      <c r="BG33" s="1">
        <f t="shared" si="0"/>
        <v>2.7831886910752575</v>
      </c>
      <c r="BH33" s="1">
        <f t="shared" si="0"/>
        <v>2.4166405073382808</v>
      </c>
      <c r="BI33" s="1">
        <f t="shared" si="0"/>
        <v>2.7363965022766426</v>
      </c>
      <c r="BJ33" s="1">
        <f t="shared" si="0"/>
        <v>2.5276299008713385</v>
      </c>
      <c r="BK33" s="1">
        <f t="shared" si="0"/>
        <v>4.4606423002473194</v>
      </c>
      <c r="BL33" s="1">
        <f t="shared" si="0"/>
        <v>3.8783494222177755</v>
      </c>
      <c r="BM33" s="1">
        <f t="shared" si="0"/>
        <v>3.3374592612906562</v>
      </c>
      <c r="BN33" s="1">
        <f t="shared" si="0"/>
        <v>4.220866133312124</v>
      </c>
      <c r="BO33" s="1">
        <f t="shared" ref="BO33:BT37" si="1">LOG(BO2+1)</f>
        <v>2.271841606536499</v>
      </c>
      <c r="BP33" s="1">
        <f t="shared" si="1"/>
        <v>3.3362595520141931</v>
      </c>
      <c r="BQ33" s="1">
        <f t="shared" si="1"/>
        <v>3.4237372499823291</v>
      </c>
      <c r="BR33" s="1">
        <f t="shared" si="1"/>
        <v>2.6242820958356683</v>
      </c>
      <c r="BS33" s="1">
        <f t="shared" si="1"/>
        <v>3.1972805581256192</v>
      </c>
      <c r="BT33" s="1">
        <f t="shared" si="1"/>
        <v>2.2329961103921536</v>
      </c>
    </row>
    <row r="34" spans="1:72" x14ac:dyDescent="0.25">
      <c r="A34" s="2" t="s">
        <v>75</v>
      </c>
      <c r="B34" s="1">
        <f t="shared" ref="B34:Q60" si="2">LOG(B3+1)</f>
        <v>2.775974331129369</v>
      </c>
      <c r="C34" s="1">
        <f t="shared" si="2"/>
        <v>4.1091396439040162</v>
      </c>
      <c r="D34" s="1">
        <f t="shared" si="2"/>
        <v>3.888797067456681</v>
      </c>
      <c r="E34" s="1">
        <f t="shared" si="2"/>
        <v>3.4036351897905481</v>
      </c>
      <c r="F34" s="1">
        <f t="shared" si="2"/>
        <v>4.0539615073144999</v>
      </c>
      <c r="G34" s="1">
        <f t="shared" si="2"/>
        <v>3.2161659022859932</v>
      </c>
      <c r="H34" s="1">
        <f t="shared" si="2"/>
        <v>3.1646502159342966</v>
      </c>
      <c r="I34" s="1">
        <f t="shared" si="2"/>
        <v>3.5125509929042109</v>
      </c>
      <c r="J34" s="1">
        <f t="shared" si="2"/>
        <v>3.4388586594205619</v>
      </c>
      <c r="K34" s="1">
        <f t="shared" si="2"/>
        <v>1.9867717342662448</v>
      </c>
      <c r="L34" s="1">
        <f t="shared" si="2"/>
        <v>3.4516329474569907</v>
      </c>
      <c r="M34" s="1">
        <f t="shared" si="2"/>
        <v>3.1821292140529982</v>
      </c>
      <c r="N34" s="1">
        <f t="shared" si="2"/>
        <v>3.4534712337229361</v>
      </c>
      <c r="O34" s="1">
        <f t="shared" si="2"/>
        <v>3.2214142378423385</v>
      </c>
      <c r="P34" s="1">
        <f t="shared" si="2"/>
        <v>3.5766868052009957</v>
      </c>
      <c r="Q34" s="1">
        <f t="shared" si="2"/>
        <v>2.7101173651118162</v>
      </c>
      <c r="R34" s="1">
        <f t="shared" si="0"/>
        <v>3.405346360175709</v>
      </c>
      <c r="S34" s="1">
        <f t="shared" si="0"/>
        <v>2.6222140229662951</v>
      </c>
      <c r="T34" s="1">
        <f t="shared" si="0"/>
        <v>3.3402457615679317</v>
      </c>
      <c r="U34" s="1">
        <f t="shared" si="0"/>
        <v>2.885926339801431</v>
      </c>
      <c r="V34" s="1">
        <f t="shared" si="0"/>
        <v>3.2540644529143381</v>
      </c>
      <c r="W34" s="1">
        <f t="shared" si="0"/>
        <v>3.3504418565350611</v>
      </c>
      <c r="X34" s="1">
        <f t="shared" si="0"/>
        <v>3.2352758766870524</v>
      </c>
      <c r="Y34" s="1">
        <f t="shared" si="0"/>
        <v>4.0069364513642931</v>
      </c>
      <c r="Z34" s="1">
        <f t="shared" si="0"/>
        <v>3.7412304110254708</v>
      </c>
      <c r="AA34" s="1">
        <f t="shared" si="0"/>
        <v>2.7803173121401512</v>
      </c>
      <c r="AB34" s="1">
        <f t="shared" si="0"/>
        <v>4.3437039317832111</v>
      </c>
      <c r="AC34" s="1">
        <f t="shared" si="0"/>
        <v>4.4053292818028762</v>
      </c>
      <c r="AD34" s="1">
        <f t="shared" si="0"/>
        <v>3.4746532533620629</v>
      </c>
      <c r="AE34" s="1">
        <f t="shared" si="0"/>
        <v>2.9247959957979122</v>
      </c>
      <c r="AF34" s="1">
        <f t="shared" si="0"/>
        <v>2.8122446968003691</v>
      </c>
      <c r="AG34" s="1">
        <f t="shared" si="0"/>
        <v>4.2239370203199824</v>
      </c>
      <c r="AH34" s="1">
        <f t="shared" si="0"/>
        <v>4.2904575640680385</v>
      </c>
      <c r="AI34" s="1">
        <f t="shared" si="0"/>
        <v>5.0322519937996733</v>
      </c>
      <c r="AJ34" s="1">
        <f t="shared" si="0"/>
        <v>3.5402042998420598</v>
      </c>
      <c r="AK34" s="1">
        <f t="shared" si="0"/>
        <v>2.9951962915971793</v>
      </c>
      <c r="AL34" s="1">
        <f t="shared" si="0"/>
        <v>3.2821687783046416</v>
      </c>
      <c r="AM34" s="1">
        <f t="shared" si="0"/>
        <v>3.6778805815115905</v>
      </c>
      <c r="AN34" s="1">
        <f t="shared" si="0"/>
        <v>3.4610480916706576</v>
      </c>
      <c r="AO34" s="1">
        <f t="shared" si="0"/>
        <v>3.2688119037397803</v>
      </c>
      <c r="AP34" s="1">
        <f t="shared" si="0"/>
        <v>3.2387985627139169</v>
      </c>
      <c r="AQ34" s="1">
        <f t="shared" si="0"/>
        <v>3.8706964579892498</v>
      </c>
      <c r="AR34" s="1">
        <f t="shared" si="0"/>
        <v>4.7337508182622887</v>
      </c>
      <c r="AS34" s="1">
        <f t="shared" si="0"/>
        <v>2.9845273133437926</v>
      </c>
      <c r="AT34" s="1">
        <f t="shared" si="0"/>
        <v>3.1826999033360424</v>
      </c>
      <c r="AU34" s="1">
        <f t="shared" si="0"/>
        <v>3.2641091563058082</v>
      </c>
      <c r="AV34" s="1">
        <f t="shared" si="0"/>
        <v>2.419955748489758</v>
      </c>
      <c r="AW34" s="1">
        <f t="shared" si="0"/>
        <v>2.9449759084120477</v>
      </c>
      <c r="AX34" s="1">
        <f t="shared" si="0"/>
        <v>2.1958996524092336</v>
      </c>
      <c r="AY34" s="1">
        <f t="shared" si="0"/>
        <v>1.7993405494535817</v>
      </c>
      <c r="AZ34" s="1">
        <f t="shared" si="0"/>
        <v>2.8651039746411278</v>
      </c>
      <c r="BA34" s="1">
        <f t="shared" si="0"/>
        <v>2.0530784434834195</v>
      </c>
      <c r="BB34" s="1">
        <f t="shared" si="0"/>
        <v>3.0199466816788423</v>
      </c>
      <c r="BC34" s="1">
        <f t="shared" si="0"/>
        <v>2.6981005456233897</v>
      </c>
      <c r="BD34" s="1">
        <f t="shared" si="0"/>
        <v>3.1705550585212086</v>
      </c>
      <c r="BE34" s="1">
        <f t="shared" si="0"/>
        <v>3.2607866686549762</v>
      </c>
      <c r="BF34" s="1">
        <f t="shared" si="0"/>
        <v>2.935003151453655</v>
      </c>
      <c r="BG34" s="1">
        <f t="shared" si="0"/>
        <v>3.0157787563890408</v>
      </c>
      <c r="BH34" s="1">
        <f t="shared" si="0"/>
        <v>3.6141587095091752</v>
      </c>
      <c r="BI34" s="1">
        <f t="shared" si="0"/>
        <v>2.3783979009481375</v>
      </c>
      <c r="BJ34" s="1">
        <f t="shared" si="0"/>
        <v>1.9956351945975499</v>
      </c>
      <c r="BK34" s="1">
        <f t="shared" si="0"/>
        <v>2.975431808509263</v>
      </c>
      <c r="BL34" s="1">
        <f t="shared" si="0"/>
        <v>2.8202014594856402</v>
      </c>
      <c r="BM34" s="1">
        <f t="shared" si="0"/>
        <v>2.7671558660821804</v>
      </c>
      <c r="BN34" s="1">
        <f t="shared" si="0"/>
        <v>3.3318320444362488</v>
      </c>
      <c r="BO34" s="1">
        <f t="shared" si="1"/>
        <v>2.6483600109809315</v>
      </c>
      <c r="BP34" s="1">
        <f t="shared" si="1"/>
        <v>3.3814760902750298</v>
      </c>
      <c r="BQ34" s="1">
        <f t="shared" si="1"/>
        <v>2.7442929831226763</v>
      </c>
      <c r="BR34" s="1">
        <f t="shared" si="1"/>
        <v>2.4668676203541096</v>
      </c>
      <c r="BS34" s="1">
        <f t="shared" si="1"/>
        <v>3.3995006613146104</v>
      </c>
      <c r="BT34" s="1">
        <f t="shared" si="1"/>
        <v>3.3068537486930087</v>
      </c>
    </row>
    <row r="35" spans="1:72" x14ac:dyDescent="0.25">
      <c r="A35" s="2" t="s">
        <v>76</v>
      </c>
      <c r="B35" s="1">
        <f t="shared" si="2"/>
        <v>2.2944662261615929</v>
      </c>
      <c r="C35" s="1">
        <f t="shared" ref="C35:BN38" si="3">LOG(C4+1)</f>
        <v>3.8800700840640672</v>
      </c>
      <c r="D35" s="1">
        <f t="shared" si="3"/>
        <v>4.2412226311958916</v>
      </c>
      <c r="E35" s="1">
        <f t="shared" si="3"/>
        <v>3.4625477288026643</v>
      </c>
      <c r="F35" s="1">
        <f t="shared" si="3"/>
        <v>3.8567892887533164</v>
      </c>
      <c r="G35" s="1">
        <f t="shared" si="3"/>
        <v>3.5359267413955693</v>
      </c>
      <c r="H35" s="1">
        <f t="shared" si="3"/>
        <v>2.403120521175818</v>
      </c>
      <c r="I35" s="1">
        <f t="shared" si="3"/>
        <v>2.5477747053878224</v>
      </c>
      <c r="J35" s="1">
        <f t="shared" si="3"/>
        <v>3.879611907065851</v>
      </c>
      <c r="K35" s="1">
        <f t="shared" si="3"/>
        <v>2.7134905430939424</v>
      </c>
      <c r="L35" s="1">
        <f t="shared" si="3"/>
        <v>2.9278834103307068</v>
      </c>
      <c r="M35" s="1">
        <f t="shared" si="3"/>
        <v>3.0759117614827773</v>
      </c>
      <c r="N35" s="1">
        <f t="shared" si="3"/>
        <v>2.7535830588929064</v>
      </c>
      <c r="O35" s="1">
        <f t="shared" si="3"/>
        <v>3.0542299098633974</v>
      </c>
      <c r="P35" s="1">
        <f t="shared" si="3"/>
        <v>2.7151673578484576</v>
      </c>
      <c r="Q35" s="1">
        <f t="shared" si="3"/>
        <v>2.0969100130080562</v>
      </c>
      <c r="R35" s="1">
        <f t="shared" si="3"/>
        <v>2.7888751157754168</v>
      </c>
      <c r="S35" s="1">
        <f t="shared" si="3"/>
        <v>2.2013971243204513</v>
      </c>
      <c r="T35" s="1">
        <f t="shared" si="3"/>
        <v>3.461948495203762</v>
      </c>
      <c r="U35" s="1">
        <f t="shared" si="3"/>
        <v>2.5250448070368452</v>
      </c>
      <c r="V35" s="1">
        <f t="shared" si="3"/>
        <v>3.1628629933219261</v>
      </c>
      <c r="W35" s="1">
        <f t="shared" si="3"/>
        <v>3.445759836488631</v>
      </c>
      <c r="X35" s="1">
        <f t="shared" si="3"/>
        <v>2.4578818967339924</v>
      </c>
      <c r="Y35" s="1">
        <f t="shared" si="3"/>
        <v>3.2092468487533736</v>
      </c>
      <c r="Z35" s="1">
        <f t="shared" si="3"/>
        <v>2.9111576087399764</v>
      </c>
      <c r="AA35" s="1">
        <f t="shared" si="3"/>
        <v>2.0755469613925306</v>
      </c>
      <c r="AB35" s="1">
        <f t="shared" si="3"/>
        <v>3.887561040930009</v>
      </c>
      <c r="AC35" s="1">
        <f t="shared" si="3"/>
        <v>3.9121688960596268</v>
      </c>
      <c r="AD35" s="1">
        <f t="shared" si="3"/>
        <v>2.3483048630481607</v>
      </c>
      <c r="AE35" s="1">
        <f t="shared" si="3"/>
        <v>2.1492191126553797</v>
      </c>
      <c r="AF35" s="1">
        <f t="shared" si="3"/>
        <v>2.8055008581584002</v>
      </c>
      <c r="AG35" s="1">
        <f t="shared" si="3"/>
        <v>3.6879746200345558</v>
      </c>
      <c r="AH35" s="1">
        <f t="shared" si="3"/>
        <v>3.5600262489128922</v>
      </c>
      <c r="AI35" s="1">
        <f t="shared" si="3"/>
        <v>3.9857407410500745</v>
      </c>
      <c r="AJ35" s="1">
        <f t="shared" si="3"/>
        <v>3.0038911662369103</v>
      </c>
      <c r="AK35" s="1">
        <f t="shared" si="3"/>
        <v>2.5550944485783194</v>
      </c>
      <c r="AL35" s="1">
        <f t="shared" si="3"/>
        <v>2.6074550232146687</v>
      </c>
      <c r="AM35" s="1">
        <f t="shared" si="3"/>
        <v>2.2900346113625178</v>
      </c>
      <c r="AN35" s="1">
        <f t="shared" si="3"/>
        <v>2.0969100130080562</v>
      </c>
      <c r="AO35" s="1">
        <f t="shared" si="3"/>
        <v>2.6364878963533656</v>
      </c>
      <c r="AP35" s="1">
        <f t="shared" si="3"/>
        <v>2.5670263661590602</v>
      </c>
      <c r="AQ35" s="1">
        <f t="shared" si="3"/>
        <v>2.0969100130080562</v>
      </c>
      <c r="AR35" s="1">
        <f t="shared" si="3"/>
        <v>4.1204093945560682</v>
      </c>
      <c r="AS35" s="1">
        <f t="shared" si="3"/>
        <v>3.7127338590699517</v>
      </c>
      <c r="AT35" s="1">
        <f t="shared" si="3"/>
        <v>3.6953941082911097</v>
      </c>
      <c r="AU35" s="1">
        <f t="shared" si="3"/>
        <v>4.3433101031623416</v>
      </c>
      <c r="AV35" s="1">
        <f t="shared" si="3"/>
        <v>2.5276299008713385</v>
      </c>
      <c r="AW35" s="1">
        <f t="shared" si="3"/>
        <v>4.1874361097737083</v>
      </c>
      <c r="AX35" s="1">
        <f t="shared" si="3"/>
        <v>2.6839471307515121</v>
      </c>
      <c r="AY35" s="1">
        <f t="shared" si="3"/>
        <v>1.3617278360175928</v>
      </c>
      <c r="AZ35" s="1">
        <f t="shared" si="3"/>
        <v>3.5069107255515179</v>
      </c>
      <c r="BA35" s="1">
        <f t="shared" si="3"/>
        <v>2.5403294747908736</v>
      </c>
      <c r="BB35" s="1">
        <f t="shared" si="3"/>
        <v>3.1476763242410986</v>
      </c>
      <c r="BC35" s="1">
        <f t="shared" si="3"/>
        <v>2.9498777040368749</v>
      </c>
      <c r="BD35" s="1">
        <f t="shared" si="3"/>
        <v>3.0433622780211294</v>
      </c>
      <c r="BE35" s="1">
        <f t="shared" si="3"/>
        <v>3.8678797834583798</v>
      </c>
      <c r="BF35" s="1">
        <f t="shared" si="3"/>
        <v>3.230704313612569</v>
      </c>
      <c r="BG35" s="1">
        <f t="shared" si="3"/>
        <v>2.8382192219076257</v>
      </c>
      <c r="BH35" s="1">
        <f t="shared" si="3"/>
        <v>3.019116290447073</v>
      </c>
      <c r="BI35" s="1">
        <f t="shared" si="3"/>
        <v>2.7916906490201181</v>
      </c>
      <c r="BJ35" s="1">
        <f t="shared" si="3"/>
        <v>2.8970770032094202</v>
      </c>
      <c r="BK35" s="1">
        <f t="shared" si="3"/>
        <v>4.1793506823484874</v>
      </c>
      <c r="BL35" s="1">
        <f t="shared" si="3"/>
        <v>4.0446573332348663</v>
      </c>
      <c r="BM35" s="1">
        <f t="shared" si="3"/>
        <v>3.2407987711173312</v>
      </c>
      <c r="BN35" s="1">
        <f t="shared" si="3"/>
        <v>4.3967745370300264</v>
      </c>
      <c r="BO35" s="1">
        <f t="shared" si="1"/>
        <v>2.3117538610557542</v>
      </c>
      <c r="BP35" s="1">
        <f t="shared" si="1"/>
        <v>3.2955670999624789</v>
      </c>
      <c r="BQ35" s="1">
        <f t="shared" si="1"/>
        <v>3.4708513245261177</v>
      </c>
      <c r="BR35" s="1">
        <f t="shared" si="1"/>
        <v>2.8469553250198238</v>
      </c>
      <c r="BS35" s="1">
        <f t="shared" si="1"/>
        <v>2.9360107957152097</v>
      </c>
      <c r="BT35" s="1">
        <f t="shared" si="1"/>
        <v>2.4548448600085102</v>
      </c>
    </row>
    <row r="36" spans="1:72" x14ac:dyDescent="0.25">
      <c r="A36" s="2" t="s">
        <v>77</v>
      </c>
      <c r="B36" s="1">
        <f t="shared" si="2"/>
        <v>1.7403626894942439</v>
      </c>
      <c r="C36" s="1">
        <f t="shared" si="3"/>
        <v>2.2624510897304293</v>
      </c>
      <c r="D36" s="1">
        <f t="shared" si="3"/>
        <v>2.4548448600085102</v>
      </c>
      <c r="E36" s="1">
        <f t="shared" si="3"/>
        <v>1.7403626894942439</v>
      </c>
      <c r="F36" s="1">
        <f t="shared" si="3"/>
        <v>1.9084850188786497</v>
      </c>
      <c r="G36" s="1">
        <f t="shared" si="3"/>
        <v>1.6532125137753437</v>
      </c>
      <c r="H36" s="1">
        <f t="shared" si="3"/>
        <v>1.4623979978989561</v>
      </c>
      <c r="I36" s="1">
        <f t="shared" si="3"/>
        <v>1.6127838567197355</v>
      </c>
      <c r="J36" s="1">
        <f t="shared" si="3"/>
        <v>1.7558748556724915</v>
      </c>
      <c r="K36" s="1">
        <f t="shared" si="3"/>
        <v>0.69897000433601886</v>
      </c>
      <c r="L36" s="1">
        <f t="shared" si="3"/>
        <v>2.2479732663618068</v>
      </c>
      <c r="M36" s="1">
        <f t="shared" si="3"/>
        <v>2.2068258760318495</v>
      </c>
      <c r="N36" s="1">
        <f t="shared" si="3"/>
        <v>2.5877109650189114</v>
      </c>
      <c r="O36" s="1">
        <f t="shared" si="3"/>
        <v>2.1553360374650619</v>
      </c>
      <c r="P36" s="1">
        <f t="shared" si="3"/>
        <v>2.2671717284030137</v>
      </c>
      <c r="Q36" s="1">
        <f t="shared" si="3"/>
        <v>1.5910646070264991</v>
      </c>
      <c r="R36" s="1">
        <f t="shared" si="3"/>
        <v>2.1303337684950061</v>
      </c>
      <c r="S36" s="1">
        <f t="shared" si="3"/>
        <v>0.69897000433601886</v>
      </c>
      <c r="T36" s="1">
        <f t="shared" si="3"/>
        <v>2.3961993470957363</v>
      </c>
      <c r="U36" s="1">
        <f t="shared" si="3"/>
        <v>1.4623979978989561</v>
      </c>
      <c r="V36" s="1">
        <f t="shared" si="3"/>
        <v>1.8129133566428555</v>
      </c>
      <c r="W36" s="1">
        <f t="shared" si="3"/>
        <v>1.6334684555795864</v>
      </c>
      <c r="X36" s="1">
        <f t="shared" si="3"/>
        <v>2.3961993470957363</v>
      </c>
      <c r="Y36" s="1">
        <f t="shared" si="3"/>
        <v>2.0606978403536118</v>
      </c>
      <c r="Z36" s="1">
        <f t="shared" si="3"/>
        <v>0.84509804001425681</v>
      </c>
      <c r="AA36" s="1">
        <f t="shared" si="3"/>
        <v>0</v>
      </c>
      <c r="AB36" s="1">
        <f t="shared" si="3"/>
        <v>2.6693168805661123</v>
      </c>
      <c r="AC36" s="1">
        <f t="shared" si="3"/>
        <v>2.7067177823367587</v>
      </c>
      <c r="AD36" s="1">
        <f t="shared" si="3"/>
        <v>0.95424250943932487</v>
      </c>
      <c r="AE36" s="1">
        <f t="shared" si="3"/>
        <v>1.2304489213782739</v>
      </c>
      <c r="AF36" s="1">
        <f t="shared" si="3"/>
        <v>0</v>
      </c>
      <c r="AG36" s="1">
        <f t="shared" si="3"/>
        <v>2.2068258760318495</v>
      </c>
      <c r="AH36" s="1">
        <f t="shared" si="3"/>
        <v>2.4608978427565478</v>
      </c>
      <c r="AI36" s="1">
        <f t="shared" si="3"/>
        <v>2.1303337684950061</v>
      </c>
      <c r="AJ36" s="1">
        <f t="shared" si="3"/>
        <v>0.69897000433601886</v>
      </c>
      <c r="AK36" s="1">
        <f t="shared" si="3"/>
        <v>1.5910646070264991</v>
      </c>
      <c r="AL36" s="1">
        <f t="shared" si="3"/>
        <v>1.6901960800285136</v>
      </c>
      <c r="AM36" s="1">
        <f t="shared" si="3"/>
        <v>0.47712125471966244</v>
      </c>
      <c r="AN36" s="1">
        <f t="shared" si="3"/>
        <v>1.3979400086720377</v>
      </c>
      <c r="AO36" s="1">
        <f t="shared" si="3"/>
        <v>1.8750612633917001</v>
      </c>
      <c r="AP36" s="1">
        <f t="shared" si="3"/>
        <v>1.6720978579357175</v>
      </c>
      <c r="AQ36" s="1">
        <f t="shared" si="3"/>
        <v>1.7403626894942439</v>
      </c>
      <c r="AR36" s="1">
        <f t="shared" si="3"/>
        <v>2.0969100130080562</v>
      </c>
      <c r="AS36" s="1">
        <f t="shared" si="3"/>
        <v>1.0413926851582251</v>
      </c>
      <c r="AT36" s="1">
        <f t="shared" si="3"/>
        <v>1.3979400086720377</v>
      </c>
      <c r="AU36" s="1">
        <f t="shared" si="3"/>
        <v>2.2121876044039577</v>
      </c>
      <c r="AV36" s="1">
        <f t="shared" si="3"/>
        <v>1.4623979978989561</v>
      </c>
      <c r="AW36" s="1">
        <f t="shared" si="3"/>
        <v>1.1139433523068367</v>
      </c>
      <c r="AX36" s="1">
        <f t="shared" si="3"/>
        <v>1.8512583487190752</v>
      </c>
      <c r="AY36" s="1">
        <f t="shared" si="3"/>
        <v>0</v>
      </c>
      <c r="AZ36" s="1">
        <f t="shared" si="3"/>
        <v>0</v>
      </c>
      <c r="BA36" s="1">
        <f t="shared" si="3"/>
        <v>0</v>
      </c>
      <c r="BB36" s="1">
        <f t="shared" si="3"/>
        <v>2.1303337684950061</v>
      </c>
      <c r="BC36" s="1">
        <f t="shared" si="3"/>
        <v>2.5010592622177517</v>
      </c>
      <c r="BD36" s="1">
        <f t="shared" si="3"/>
        <v>2.3710678622717363</v>
      </c>
      <c r="BE36" s="1">
        <f t="shared" si="3"/>
        <v>2.5224442335063197</v>
      </c>
      <c r="BF36" s="1">
        <f t="shared" si="3"/>
        <v>1.5440680443502757</v>
      </c>
      <c r="BG36" s="1">
        <f t="shared" si="3"/>
        <v>2.4424797690644486</v>
      </c>
      <c r="BH36" s="1">
        <f t="shared" si="3"/>
        <v>1.568201724066995</v>
      </c>
      <c r="BI36" s="1">
        <f t="shared" si="3"/>
        <v>0.47712125471966244</v>
      </c>
      <c r="BJ36" s="1">
        <f t="shared" si="3"/>
        <v>0</v>
      </c>
      <c r="BK36" s="1">
        <f t="shared" si="3"/>
        <v>0.84509804001425681</v>
      </c>
      <c r="BL36" s="1">
        <f t="shared" si="3"/>
        <v>1.4913616938342726</v>
      </c>
      <c r="BM36" s="1">
        <f t="shared" si="3"/>
        <v>1.4913616938342726</v>
      </c>
      <c r="BN36" s="1">
        <f t="shared" si="3"/>
        <v>3.2826221128780624</v>
      </c>
      <c r="BO36" s="1">
        <f t="shared" si="1"/>
        <v>1.9956351945975499</v>
      </c>
      <c r="BP36" s="1">
        <f t="shared" si="1"/>
        <v>2.0453229787866576</v>
      </c>
      <c r="BQ36" s="1">
        <f t="shared" si="1"/>
        <v>1.4913616938342726</v>
      </c>
      <c r="BR36" s="1">
        <f t="shared" si="1"/>
        <v>2.5010592622177517</v>
      </c>
      <c r="BS36" s="1">
        <f t="shared" si="1"/>
        <v>1.6901960800285136</v>
      </c>
      <c r="BT36" s="1">
        <f t="shared" si="1"/>
        <v>1.968482948553935</v>
      </c>
    </row>
    <row r="37" spans="1:72" x14ac:dyDescent="0.25">
      <c r="A37" s="2" t="s">
        <v>78</v>
      </c>
      <c r="B37" s="1">
        <f t="shared" si="2"/>
        <v>2.663700925389648</v>
      </c>
      <c r="C37" s="1">
        <f t="shared" si="3"/>
        <v>2.503790683057181</v>
      </c>
      <c r="D37" s="1">
        <f t="shared" si="3"/>
        <v>2.419955748489758</v>
      </c>
      <c r="E37" s="1">
        <f t="shared" si="3"/>
        <v>1.9084850188786497</v>
      </c>
      <c r="F37" s="1">
        <f t="shared" si="3"/>
        <v>2.012837224705172</v>
      </c>
      <c r="G37" s="1">
        <f t="shared" si="3"/>
        <v>1.9956351945975499</v>
      </c>
      <c r="H37" s="1">
        <f t="shared" si="3"/>
        <v>1.7993405494535817</v>
      </c>
      <c r="I37" s="1">
        <f t="shared" si="3"/>
        <v>1.0413926851582251</v>
      </c>
      <c r="J37" s="1">
        <f t="shared" si="3"/>
        <v>2.9143431571194407</v>
      </c>
      <c r="K37" s="1">
        <f t="shared" si="3"/>
        <v>0</v>
      </c>
      <c r="L37" s="1">
        <f t="shared" si="3"/>
        <v>2.2944662261615929</v>
      </c>
      <c r="M37" s="1">
        <f t="shared" si="3"/>
        <v>2.2380461031287955</v>
      </c>
      <c r="N37" s="1">
        <f t="shared" si="3"/>
        <v>2.7874604745184151</v>
      </c>
      <c r="O37" s="1">
        <f t="shared" si="3"/>
        <v>1.7558748556724915</v>
      </c>
      <c r="P37" s="1">
        <f t="shared" si="3"/>
        <v>2.0827853703164503</v>
      </c>
      <c r="Q37" s="1">
        <f t="shared" si="3"/>
        <v>1.6334684555795864</v>
      </c>
      <c r="R37" s="1">
        <f t="shared" si="3"/>
        <v>2.403120521175818</v>
      </c>
      <c r="S37" s="1">
        <f t="shared" si="3"/>
        <v>0</v>
      </c>
      <c r="T37" s="1">
        <f t="shared" si="3"/>
        <v>2.4548448600085102</v>
      </c>
      <c r="U37" s="1">
        <f t="shared" si="3"/>
        <v>1.7075701760979363</v>
      </c>
      <c r="V37" s="1">
        <f t="shared" si="3"/>
        <v>1.7558748556724915</v>
      </c>
      <c r="W37" s="1">
        <f t="shared" si="3"/>
        <v>2.0043213737826426</v>
      </c>
      <c r="X37" s="1">
        <f t="shared" si="3"/>
        <v>2.503790683057181</v>
      </c>
      <c r="Y37" s="1">
        <f t="shared" si="3"/>
        <v>2.0755469613925306</v>
      </c>
      <c r="Z37" s="1">
        <f t="shared" si="3"/>
        <v>1.8864907251724818</v>
      </c>
      <c r="AA37" s="1">
        <f t="shared" si="3"/>
        <v>0</v>
      </c>
      <c r="AB37" s="1">
        <f t="shared" si="3"/>
        <v>2.9845273133437926</v>
      </c>
      <c r="AC37" s="1">
        <f t="shared" si="3"/>
        <v>2.9319661147281728</v>
      </c>
      <c r="AD37" s="1">
        <f t="shared" si="3"/>
        <v>1.2787536009528289</v>
      </c>
      <c r="AE37" s="1">
        <f t="shared" si="3"/>
        <v>0</v>
      </c>
      <c r="AF37" s="1">
        <f t="shared" si="3"/>
        <v>0</v>
      </c>
      <c r="AG37" s="1">
        <f t="shared" si="3"/>
        <v>2.5453071164658239</v>
      </c>
      <c r="AH37" s="1">
        <f t="shared" si="3"/>
        <v>2.4393326938302629</v>
      </c>
      <c r="AI37" s="1">
        <f t="shared" si="3"/>
        <v>2.6541765418779604</v>
      </c>
      <c r="AJ37" s="1">
        <f t="shared" si="3"/>
        <v>1.0413926851582251</v>
      </c>
      <c r="AK37" s="1">
        <f t="shared" si="3"/>
        <v>1.7558748556724915</v>
      </c>
      <c r="AL37" s="1">
        <f t="shared" si="3"/>
        <v>1.1139433523068367</v>
      </c>
      <c r="AM37" s="1">
        <f t="shared" si="3"/>
        <v>0</v>
      </c>
      <c r="AN37" s="1">
        <f t="shared" si="3"/>
        <v>0</v>
      </c>
      <c r="AO37" s="1">
        <f t="shared" si="3"/>
        <v>1.568201724066995</v>
      </c>
      <c r="AP37" s="1">
        <f t="shared" si="3"/>
        <v>1.3222192947339193</v>
      </c>
      <c r="AQ37" s="1">
        <f t="shared" si="3"/>
        <v>1.2304489213782739</v>
      </c>
      <c r="AR37" s="1">
        <f t="shared" si="3"/>
        <v>2.4955443375464483</v>
      </c>
      <c r="AS37" s="1">
        <f t="shared" si="3"/>
        <v>1.8129133566428555</v>
      </c>
      <c r="AT37" s="1">
        <f t="shared" si="3"/>
        <v>1.5185139398778875</v>
      </c>
      <c r="AU37" s="1">
        <f t="shared" si="3"/>
        <v>2.8926510338773004</v>
      </c>
      <c r="AV37" s="1">
        <f t="shared" si="3"/>
        <v>1.7853298350107671</v>
      </c>
      <c r="AW37" s="1">
        <f t="shared" si="3"/>
        <v>1.9590413923210936</v>
      </c>
      <c r="AX37" s="1">
        <f t="shared" si="3"/>
        <v>0</v>
      </c>
      <c r="AY37" s="1">
        <f t="shared" si="3"/>
        <v>0.47712125471966244</v>
      </c>
      <c r="AZ37" s="1">
        <f t="shared" si="3"/>
        <v>1.6334684555795864</v>
      </c>
      <c r="BA37" s="1">
        <f t="shared" si="3"/>
        <v>1.4623979978989561</v>
      </c>
      <c r="BB37" s="1">
        <f t="shared" si="3"/>
        <v>2.2329961103921536</v>
      </c>
      <c r="BC37" s="1">
        <f t="shared" si="3"/>
        <v>2.6424645202421213</v>
      </c>
      <c r="BD37" s="1">
        <f t="shared" si="3"/>
        <v>2.4638929889859074</v>
      </c>
      <c r="BE37" s="1">
        <f t="shared" si="3"/>
        <v>2.6444385894678386</v>
      </c>
      <c r="BF37" s="1">
        <f t="shared" si="3"/>
        <v>1.6127838567197355</v>
      </c>
      <c r="BG37" s="1">
        <f t="shared" si="3"/>
        <v>2.4099331233312946</v>
      </c>
      <c r="BH37" s="1">
        <f t="shared" si="3"/>
        <v>1.6532125137753437</v>
      </c>
      <c r="BI37" s="1">
        <f t="shared" si="3"/>
        <v>1.8129133566428555</v>
      </c>
      <c r="BJ37" s="1">
        <f t="shared" si="3"/>
        <v>0</v>
      </c>
      <c r="BK37" s="1">
        <f t="shared" si="3"/>
        <v>1.7242758696007889</v>
      </c>
      <c r="BL37" s="1">
        <f t="shared" si="3"/>
        <v>2.0899051114393981</v>
      </c>
      <c r="BM37" s="1">
        <f t="shared" si="3"/>
        <v>2.167317334748176</v>
      </c>
      <c r="BN37" s="1">
        <f t="shared" si="3"/>
        <v>1.7403626894942439</v>
      </c>
      <c r="BO37" s="1">
        <f t="shared" si="1"/>
        <v>2.0043213737826426</v>
      </c>
      <c r="BP37" s="1">
        <f t="shared" si="1"/>
        <v>2.2068258760318495</v>
      </c>
      <c r="BQ37" s="1">
        <f t="shared" si="1"/>
        <v>0.84509804001425681</v>
      </c>
      <c r="BR37" s="1">
        <f t="shared" si="1"/>
        <v>2.7442929831226763</v>
      </c>
      <c r="BS37" s="1">
        <f t="shared" si="1"/>
        <v>1.2304489213782739</v>
      </c>
      <c r="BT37" s="1">
        <f t="shared" si="1"/>
        <v>1.8633228601204559</v>
      </c>
    </row>
    <row r="38" spans="1:72" x14ac:dyDescent="0.25">
      <c r="A38" s="2" t="s">
        <v>79</v>
      </c>
      <c r="B38" s="1">
        <f t="shared" si="2"/>
        <v>2.7347998295888472</v>
      </c>
      <c r="C38" s="1">
        <f t="shared" si="3"/>
        <v>2.4899584794248346</v>
      </c>
      <c r="D38" s="1">
        <f t="shared" si="3"/>
        <v>2.7788744720027396</v>
      </c>
      <c r="E38" s="1">
        <f t="shared" si="3"/>
        <v>1.6127838567197355</v>
      </c>
      <c r="F38" s="1">
        <f t="shared" si="3"/>
        <v>2.3521825181113627</v>
      </c>
      <c r="G38" s="1">
        <f t="shared" si="3"/>
        <v>1.9084850188786497</v>
      </c>
      <c r="H38" s="1">
        <f t="shared" si="3"/>
        <v>2.1492191126553797</v>
      </c>
      <c r="I38" s="1">
        <f t="shared" si="3"/>
        <v>1.0413926851582251</v>
      </c>
      <c r="J38" s="1">
        <f t="shared" si="3"/>
        <v>2.2855573090077739</v>
      </c>
      <c r="K38" s="1">
        <f t="shared" si="3"/>
        <v>0</v>
      </c>
      <c r="L38" s="1">
        <f t="shared" si="3"/>
        <v>2.0453229787866576</v>
      </c>
      <c r="M38" s="1">
        <f t="shared" si="3"/>
        <v>2.1553360374650619</v>
      </c>
      <c r="N38" s="1">
        <f t="shared" si="3"/>
        <v>2.6766936096248664</v>
      </c>
      <c r="O38" s="1">
        <f t="shared" si="3"/>
        <v>0.47712125471966244</v>
      </c>
      <c r="P38" s="1">
        <f t="shared" si="3"/>
        <v>2.3483048630481607</v>
      </c>
      <c r="Q38" s="1">
        <f t="shared" si="3"/>
        <v>1.1139433523068367</v>
      </c>
      <c r="R38" s="1">
        <f t="shared" si="3"/>
        <v>2.2624510897304293</v>
      </c>
      <c r="S38" s="1">
        <f t="shared" si="3"/>
        <v>1.9084850188786497</v>
      </c>
      <c r="T38" s="1">
        <f t="shared" si="3"/>
        <v>2.5065050324048719</v>
      </c>
      <c r="U38" s="1">
        <f t="shared" si="3"/>
        <v>1.568201724066995</v>
      </c>
      <c r="V38" s="1">
        <f t="shared" si="3"/>
        <v>1.6127838567197355</v>
      </c>
      <c r="W38" s="1">
        <f t="shared" si="3"/>
        <v>2.0043213737826426</v>
      </c>
      <c r="X38" s="1">
        <f t="shared" si="3"/>
        <v>2.576341350205793</v>
      </c>
      <c r="Y38" s="1">
        <f t="shared" si="3"/>
        <v>2.1846914308175989</v>
      </c>
      <c r="Z38" s="1">
        <f t="shared" si="3"/>
        <v>1.568201724066995</v>
      </c>
      <c r="AA38" s="1">
        <f t="shared" si="3"/>
        <v>1.3222192947339193</v>
      </c>
      <c r="AB38" s="1">
        <f t="shared" si="3"/>
        <v>2.8555191556678001</v>
      </c>
      <c r="AC38" s="1">
        <f t="shared" si="3"/>
        <v>2.8767949762007006</v>
      </c>
      <c r="AD38" s="1">
        <f t="shared" si="3"/>
        <v>1.5440680443502757</v>
      </c>
      <c r="AE38" s="1">
        <f t="shared" si="3"/>
        <v>0</v>
      </c>
      <c r="AF38" s="1">
        <f t="shared" si="3"/>
        <v>1.4913616938342726</v>
      </c>
      <c r="AG38" s="1">
        <f t="shared" si="3"/>
        <v>2.7084209001347128</v>
      </c>
      <c r="AH38" s="1">
        <f t="shared" si="3"/>
        <v>1.8864907251724818</v>
      </c>
      <c r="AI38" s="1">
        <f t="shared" si="3"/>
        <v>2.514547752660286</v>
      </c>
      <c r="AJ38" s="1">
        <f t="shared" si="3"/>
        <v>0</v>
      </c>
      <c r="AK38" s="1">
        <f t="shared" si="3"/>
        <v>1.6127838567197355</v>
      </c>
      <c r="AL38" s="1">
        <f t="shared" si="3"/>
        <v>0</v>
      </c>
      <c r="AM38" s="1">
        <f t="shared" si="3"/>
        <v>1.0413926851582251</v>
      </c>
      <c r="AN38" s="1">
        <f t="shared" si="3"/>
        <v>0</v>
      </c>
      <c r="AO38" s="1">
        <f t="shared" si="3"/>
        <v>0.84509804001425681</v>
      </c>
      <c r="AP38" s="1">
        <f t="shared" si="3"/>
        <v>1.4913616938342726</v>
      </c>
      <c r="AQ38" s="1">
        <f t="shared" si="3"/>
        <v>0.69897000433601886</v>
      </c>
      <c r="AR38" s="1">
        <f t="shared" si="3"/>
        <v>2.2671717284030137</v>
      </c>
      <c r="AS38" s="1">
        <f t="shared" si="3"/>
        <v>1.7242758696007889</v>
      </c>
      <c r="AT38" s="1">
        <f t="shared" si="3"/>
        <v>1.9867717342662448</v>
      </c>
      <c r="AU38" s="1">
        <f t="shared" si="3"/>
        <v>2.9763499790032735</v>
      </c>
      <c r="AV38" s="1">
        <f t="shared" si="3"/>
        <v>1.9590413923210936</v>
      </c>
      <c r="AW38" s="1">
        <f t="shared" si="3"/>
        <v>1.8864907251724818</v>
      </c>
      <c r="AX38" s="1">
        <f t="shared" si="3"/>
        <v>1.9294189257142926</v>
      </c>
      <c r="AY38" s="1">
        <f t="shared" si="3"/>
        <v>0</v>
      </c>
      <c r="AZ38" s="1">
        <f t="shared" si="3"/>
        <v>0</v>
      </c>
      <c r="BA38" s="1">
        <f t="shared" si="3"/>
        <v>0</v>
      </c>
      <c r="BB38" s="1">
        <f t="shared" si="3"/>
        <v>1.8750612633917001</v>
      </c>
      <c r="BC38" s="1">
        <f t="shared" si="3"/>
        <v>2.720159303405957</v>
      </c>
      <c r="BD38" s="1">
        <f t="shared" si="3"/>
        <v>2.786041210242554</v>
      </c>
      <c r="BE38" s="1">
        <f t="shared" si="3"/>
        <v>2.6893088591236203</v>
      </c>
      <c r="BF38" s="1">
        <f t="shared" si="3"/>
        <v>2.173186268412274</v>
      </c>
      <c r="BG38" s="1">
        <f t="shared" si="3"/>
        <v>2.4927603890268375</v>
      </c>
      <c r="BH38" s="1">
        <f t="shared" si="3"/>
        <v>1.9395192526186185</v>
      </c>
      <c r="BI38" s="1">
        <f t="shared" si="3"/>
        <v>1.7558748556724915</v>
      </c>
      <c r="BJ38" s="1">
        <f t="shared" si="3"/>
        <v>0</v>
      </c>
      <c r="BK38" s="1">
        <f t="shared" si="3"/>
        <v>1.6901960800285136</v>
      </c>
      <c r="BL38" s="1">
        <f t="shared" si="3"/>
        <v>1.568201724066995</v>
      </c>
      <c r="BM38" s="1">
        <f t="shared" si="3"/>
        <v>2.1238516409670858</v>
      </c>
      <c r="BN38" s="1">
        <f t="shared" ref="BN38:BT41" si="4">LOG(BN7+1)</f>
        <v>1.5910646070264991</v>
      </c>
      <c r="BO38" s="1">
        <f t="shared" si="4"/>
        <v>1.7075701760979363</v>
      </c>
      <c r="BP38" s="1">
        <f t="shared" si="4"/>
        <v>2.4842998393467859</v>
      </c>
      <c r="BQ38" s="1">
        <f t="shared" si="4"/>
        <v>1.7075701760979363</v>
      </c>
      <c r="BR38" s="1">
        <f t="shared" si="4"/>
        <v>2.436162647040756</v>
      </c>
      <c r="BS38" s="1">
        <f t="shared" si="4"/>
        <v>1.6720978579357175</v>
      </c>
      <c r="BT38" s="1">
        <f t="shared" si="4"/>
        <v>1.8633228601204559</v>
      </c>
    </row>
    <row r="39" spans="1:72" x14ac:dyDescent="0.25">
      <c r="A39" s="2" t="s">
        <v>80</v>
      </c>
      <c r="B39" s="1">
        <f t="shared" si="2"/>
        <v>2.1105897102992488</v>
      </c>
      <c r="C39" s="1">
        <f t="shared" ref="C39:BN42" si="5">LOG(C8+1)</f>
        <v>2.167317334748176</v>
      </c>
      <c r="D39" s="1">
        <f t="shared" si="5"/>
        <v>2.4297522800024081</v>
      </c>
      <c r="E39" s="1">
        <f t="shared" si="5"/>
        <v>1.8750612633917001</v>
      </c>
      <c r="F39" s="1">
        <f t="shared" si="5"/>
        <v>1.6127838567197355</v>
      </c>
      <c r="G39" s="1">
        <f t="shared" si="5"/>
        <v>1.568201724066995</v>
      </c>
      <c r="H39" s="1">
        <f t="shared" si="5"/>
        <v>1.968482948553935</v>
      </c>
      <c r="I39" s="1">
        <f t="shared" si="5"/>
        <v>1.8388490907372552</v>
      </c>
      <c r="J39" s="1">
        <f t="shared" si="5"/>
        <v>1.4913616938342726</v>
      </c>
      <c r="K39" s="1">
        <f t="shared" si="5"/>
        <v>0.69897000433601886</v>
      </c>
      <c r="L39" s="1">
        <f t="shared" si="5"/>
        <v>1.9777236052888478</v>
      </c>
      <c r="M39" s="1">
        <f t="shared" si="5"/>
        <v>2.2068258760318495</v>
      </c>
      <c r="N39" s="1">
        <f t="shared" si="5"/>
        <v>2.4983105537896004</v>
      </c>
      <c r="O39" s="1">
        <f t="shared" si="5"/>
        <v>1.3222192947339193</v>
      </c>
      <c r="P39" s="1">
        <f t="shared" si="5"/>
        <v>2.0043213737826426</v>
      </c>
      <c r="Q39" s="1">
        <f t="shared" si="5"/>
        <v>0</v>
      </c>
      <c r="R39" s="1">
        <f t="shared" si="5"/>
        <v>2.5327543789924976</v>
      </c>
      <c r="S39" s="1">
        <f t="shared" si="5"/>
        <v>1.7993405494535817</v>
      </c>
      <c r="T39" s="1">
        <f t="shared" si="5"/>
        <v>2.419955748489758</v>
      </c>
      <c r="U39" s="1">
        <f t="shared" si="5"/>
        <v>1.9294189257142926</v>
      </c>
      <c r="V39" s="1">
        <f t="shared" si="5"/>
        <v>1.8388490907372552</v>
      </c>
      <c r="W39" s="1">
        <f t="shared" si="5"/>
        <v>1.7075701760979363</v>
      </c>
      <c r="X39" s="1">
        <f t="shared" si="5"/>
        <v>2.2278867046136734</v>
      </c>
      <c r="Y39" s="1">
        <f t="shared" si="5"/>
        <v>1.1139433523068367</v>
      </c>
      <c r="Z39" s="1">
        <f t="shared" si="5"/>
        <v>1.6334684555795864</v>
      </c>
      <c r="AA39" s="1">
        <f t="shared" si="5"/>
        <v>0.47712125471966244</v>
      </c>
      <c r="AB39" s="1">
        <f t="shared" si="5"/>
        <v>2.6242820958356683</v>
      </c>
      <c r="AC39" s="1">
        <f t="shared" si="5"/>
        <v>2.503790683057181</v>
      </c>
      <c r="AD39" s="1">
        <f t="shared" si="5"/>
        <v>1.3222192947339193</v>
      </c>
      <c r="AE39" s="1">
        <f t="shared" si="5"/>
        <v>1.1139433523068367</v>
      </c>
      <c r="AF39" s="1">
        <f t="shared" si="5"/>
        <v>0</v>
      </c>
      <c r="AG39" s="1">
        <f t="shared" si="5"/>
        <v>1.8388490907372552</v>
      </c>
      <c r="AH39" s="1">
        <f t="shared" si="5"/>
        <v>2.1553360374650619</v>
      </c>
      <c r="AI39" s="1">
        <f t="shared" si="5"/>
        <v>2.4297522800024081</v>
      </c>
      <c r="AJ39" s="1">
        <f t="shared" si="5"/>
        <v>1.6532125137753437</v>
      </c>
      <c r="AK39" s="1">
        <f t="shared" si="5"/>
        <v>1.1139433523068367</v>
      </c>
      <c r="AL39" s="1">
        <f t="shared" si="5"/>
        <v>1.6334684555795864</v>
      </c>
      <c r="AM39" s="1">
        <f t="shared" si="5"/>
        <v>0.47712125471966244</v>
      </c>
      <c r="AN39" s="1">
        <f t="shared" si="5"/>
        <v>0.84509804001425681</v>
      </c>
      <c r="AO39" s="1">
        <f t="shared" si="5"/>
        <v>1.0413926851582251</v>
      </c>
      <c r="AP39" s="1">
        <f t="shared" si="5"/>
        <v>1.1139433523068367</v>
      </c>
      <c r="AQ39" s="1">
        <f t="shared" si="5"/>
        <v>1.3979400086720377</v>
      </c>
      <c r="AR39" s="1">
        <f t="shared" si="5"/>
        <v>2.2121876044039577</v>
      </c>
      <c r="AS39" s="1">
        <f t="shared" si="5"/>
        <v>1.4913616938342726</v>
      </c>
      <c r="AT39" s="1">
        <f t="shared" si="5"/>
        <v>0.69897000433601886</v>
      </c>
      <c r="AU39" s="1">
        <f t="shared" si="5"/>
        <v>2.2810333672477277</v>
      </c>
      <c r="AV39" s="1">
        <f t="shared" si="5"/>
        <v>1.2304489213782739</v>
      </c>
      <c r="AW39" s="1">
        <f t="shared" si="5"/>
        <v>1.1139433523068367</v>
      </c>
      <c r="AX39" s="1">
        <f t="shared" si="5"/>
        <v>1.4913616938342726</v>
      </c>
      <c r="AY39" s="1">
        <f t="shared" si="5"/>
        <v>0.47712125471966244</v>
      </c>
      <c r="AZ39" s="1">
        <f t="shared" si="5"/>
        <v>1.6127838567197355</v>
      </c>
      <c r="BA39" s="1">
        <f t="shared" si="5"/>
        <v>1.0413926851582251</v>
      </c>
      <c r="BB39" s="1">
        <f t="shared" si="5"/>
        <v>2.2380461031287955</v>
      </c>
      <c r="BC39" s="1">
        <f t="shared" si="5"/>
        <v>2.514547752660286</v>
      </c>
      <c r="BD39" s="1">
        <f t="shared" si="5"/>
        <v>2.2944662261615929</v>
      </c>
      <c r="BE39" s="1">
        <f t="shared" si="5"/>
        <v>2.6074550232146687</v>
      </c>
      <c r="BF39" s="1">
        <f t="shared" si="5"/>
        <v>2.0681858617461617</v>
      </c>
      <c r="BG39" s="1">
        <f t="shared" si="5"/>
        <v>2.1613680022349748</v>
      </c>
      <c r="BH39" s="1">
        <f t="shared" si="5"/>
        <v>1.6127838567197355</v>
      </c>
      <c r="BI39" s="1">
        <f t="shared" si="5"/>
        <v>1.6720978579357175</v>
      </c>
      <c r="BJ39" s="1">
        <f t="shared" si="5"/>
        <v>0.47712125471966244</v>
      </c>
      <c r="BK39" s="1">
        <f t="shared" si="5"/>
        <v>1.3617278360175928</v>
      </c>
      <c r="BL39" s="1">
        <f t="shared" si="5"/>
        <v>1.6334684555795864</v>
      </c>
      <c r="BM39" s="1">
        <f t="shared" si="5"/>
        <v>1.4913616938342726</v>
      </c>
      <c r="BN39" s="1">
        <f t="shared" si="5"/>
        <v>1.3222192947339193</v>
      </c>
      <c r="BO39" s="1">
        <f t="shared" si="4"/>
        <v>1.7853298350107671</v>
      </c>
      <c r="BP39" s="1">
        <f t="shared" si="4"/>
        <v>2.0374264979406238</v>
      </c>
      <c r="BQ39" s="1">
        <f t="shared" si="4"/>
        <v>1.5440680443502757</v>
      </c>
      <c r="BR39" s="1">
        <f t="shared" si="4"/>
        <v>2.3856062735983121</v>
      </c>
      <c r="BS39" s="1">
        <f t="shared" si="4"/>
        <v>1.8633228601204559</v>
      </c>
      <c r="BT39" s="1">
        <f t="shared" si="4"/>
        <v>1.9395192526186185</v>
      </c>
    </row>
    <row r="40" spans="1:72" x14ac:dyDescent="0.25">
      <c r="A40" s="2" t="s">
        <v>81</v>
      </c>
      <c r="B40" s="1">
        <f t="shared" si="2"/>
        <v>2.2227164711475833</v>
      </c>
      <c r="C40" s="1">
        <f t="shared" si="5"/>
        <v>2.4517864355242902</v>
      </c>
      <c r="D40" s="1">
        <f t="shared" si="5"/>
        <v>2.5809249756756194</v>
      </c>
      <c r="E40" s="1">
        <f t="shared" si="5"/>
        <v>1.8633228601204559</v>
      </c>
      <c r="F40" s="1">
        <f t="shared" si="5"/>
        <v>0.95424250943932487</v>
      </c>
      <c r="G40" s="1">
        <f t="shared" si="5"/>
        <v>1.7993405494535817</v>
      </c>
      <c r="H40" s="1">
        <f t="shared" si="5"/>
        <v>1.7075701760979363</v>
      </c>
      <c r="I40" s="1">
        <f t="shared" si="5"/>
        <v>1.5185139398778875</v>
      </c>
      <c r="J40" s="1">
        <f t="shared" si="5"/>
        <v>1.7403626894942439</v>
      </c>
      <c r="K40" s="1">
        <f t="shared" si="5"/>
        <v>0.47712125471966244</v>
      </c>
      <c r="L40" s="1">
        <f t="shared" si="5"/>
        <v>2.0606978403536118</v>
      </c>
      <c r="M40" s="1">
        <f t="shared" si="5"/>
        <v>2.3673559210260189</v>
      </c>
      <c r="N40" s="1">
        <f t="shared" si="5"/>
        <v>2.7803173121401512</v>
      </c>
      <c r="O40" s="1">
        <f t="shared" si="5"/>
        <v>1.8750612633917001</v>
      </c>
      <c r="P40" s="1">
        <f t="shared" si="5"/>
        <v>2.2380461031287955</v>
      </c>
      <c r="Q40" s="1">
        <f t="shared" si="5"/>
        <v>1.9395192526186185</v>
      </c>
      <c r="R40" s="1">
        <f t="shared" si="5"/>
        <v>2.4517864355242902</v>
      </c>
      <c r="S40" s="1">
        <f t="shared" si="5"/>
        <v>2.0606978403536118</v>
      </c>
      <c r="T40" s="1">
        <f t="shared" si="5"/>
        <v>2.5065050324048719</v>
      </c>
      <c r="U40" s="1">
        <f t="shared" si="5"/>
        <v>1.5910646070264991</v>
      </c>
      <c r="V40" s="1">
        <f t="shared" si="5"/>
        <v>1.9956351945975499</v>
      </c>
      <c r="W40" s="1">
        <f t="shared" si="5"/>
        <v>2.2764618041732443</v>
      </c>
      <c r="X40" s="1">
        <f t="shared" si="5"/>
        <v>2.5250448070368452</v>
      </c>
      <c r="Y40" s="1">
        <f t="shared" si="5"/>
        <v>2.0374264979406238</v>
      </c>
      <c r="Z40" s="1">
        <f t="shared" si="5"/>
        <v>1.4623979978989561</v>
      </c>
      <c r="AA40" s="1">
        <f t="shared" si="5"/>
        <v>1.7075701760979363</v>
      </c>
      <c r="AB40" s="1">
        <f t="shared" si="5"/>
        <v>2.9329808219231981</v>
      </c>
      <c r="AC40" s="1">
        <f t="shared" si="5"/>
        <v>2.9360107957152097</v>
      </c>
      <c r="AD40" s="1">
        <f t="shared" si="5"/>
        <v>1.5910646070264991</v>
      </c>
      <c r="AE40" s="1">
        <f t="shared" si="5"/>
        <v>0</v>
      </c>
      <c r="AF40" s="1">
        <f t="shared" si="5"/>
        <v>0.47712125471966244</v>
      </c>
      <c r="AG40" s="1">
        <f t="shared" si="5"/>
        <v>2.5921767573958667</v>
      </c>
      <c r="AH40" s="1">
        <f t="shared" si="5"/>
        <v>2.4099331233312946</v>
      </c>
      <c r="AI40" s="1">
        <f t="shared" si="5"/>
        <v>2.6541765418779604</v>
      </c>
      <c r="AJ40" s="1">
        <f t="shared" si="5"/>
        <v>1.8976270912904414</v>
      </c>
      <c r="AK40" s="1">
        <f t="shared" si="5"/>
        <v>1.1139433523068367</v>
      </c>
      <c r="AL40" s="1">
        <f t="shared" si="5"/>
        <v>1.968482948553935</v>
      </c>
      <c r="AM40" s="1">
        <f t="shared" si="5"/>
        <v>0.69897000433601886</v>
      </c>
      <c r="AN40" s="1">
        <f t="shared" si="5"/>
        <v>1.2304489213782739</v>
      </c>
      <c r="AO40" s="1">
        <f t="shared" si="5"/>
        <v>1.6901960800285136</v>
      </c>
      <c r="AP40" s="1">
        <f t="shared" si="5"/>
        <v>1.3222192947339193</v>
      </c>
      <c r="AQ40" s="1">
        <f t="shared" si="5"/>
        <v>0</v>
      </c>
      <c r="AR40" s="1">
        <f t="shared" si="5"/>
        <v>2.6222140229662951</v>
      </c>
      <c r="AS40" s="1">
        <f t="shared" si="5"/>
        <v>2.0755469613925306</v>
      </c>
      <c r="AT40" s="1">
        <f t="shared" si="5"/>
        <v>1.6901960800285136</v>
      </c>
      <c r="AU40" s="1">
        <f t="shared" si="5"/>
        <v>2.7379873263334309</v>
      </c>
      <c r="AV40" s="1">
        <f t="shared" si="5"/>
        <v>1.2304489213782739</v>
      </c>
      <c r="AW40" s="1">
        <f t="shared" si="5"/>
        <v>2.0374264979406238</v>
      </c>
      <c r="AX40" s="1">
        <f t="shared" si="5"/>
        <v>1.8864907251724818</v>
      </c>
      <c r="AY40" s="1">
        <f t="shared" si="5"/>
        <v>0</v>
      </c>
      <c r="AZ40" s="1">
        <f t="shared" si="5"/>
        <v>1.2787536009528289</v>
      </c>
      <c r="BA40" s="1">
        <f t="shared" si="5"/>
        <v>1.1760912590556813</v>
      </c>
      <c r="BB40" s="1">
        <f t="shared" si="5"/>
        <v>2.0899051114393981</v>
      </c>
      <c r="BC40" s="1">
        <f t="shared" si="5"/>
        <v>2.7185016888672742</v>
      </c>
      <c r="BD40" s="1">
        <f t="shared" si="5"/>
        <v>2.5831987739686229</v>
      </c>
      <c r="BE40" s="1">
        <f t="shared" si="5"/>
        <v>2.6711728427150834</v>
      </c>
      <c r="BF40" s="1">
        <f t="shared" si="5"/>
        <v>1.8260748027008264</v>
      </c>
      <c r="BG40" s="1">
        <f t="shared" si="5"/>
        <v>2.0530784434834195</v>
      </c>
      <c r="BH40" s="1">
        <f t="shared" si="5"/>
        <v>1.5910646070264991</v>
      </c>
      <c r="BI40" s="1">
        <f t="shared" si="5"/>
        <v>1.2787536009528289</v>
      </c>
      <c r="BJ40" s="1">
        <f t="shared" si="5"/>
        <v>0</v>
      </c>
      <c r="BK40" s="1">
        <f t="shared" si="5"/>
        <v>0.47712125471966244</v>
      </c>
      <c r="BL40" s="1">
        <f t="shared" si="5"/>
        <v>1.3979400086720377</v>
      </c>
      <c r="BM40" s="1">
        <f t="shared" si="5"/>
        <v>2.2068258760318495</v>
      </c>
      <c r="BN40" s="1">
        <f t="shared" si="5"/>
        <v>1.2304489213782739</v>
      </c>
      <c r="BO40" s="1">
        <f t="shared" si="4"/>
        <v>1.9493900066449128</v>
      </c>
      <c r="BP40" s="1">
        <f t="shared" si="4"/>
        <v>2.399673721481038</v>
      </c>
      <c r="BQ40" s="1">
        <f t="shared" si="4"/>
        <v>1.4913616938342726</v>
      </c>
      <c r="BR40" s="1">
        <f t="shared" si="4"/>
        <v>2.4899584794248346</v>
      </c>
      <c r="BS40" s="1">
        <f t="shared" si="4"/>
        <v>1.9395192526186185</v>
      </c>
      <c r="BT40" s="1">
        <f t="shared" si="4"/>
        <v>2.2900346113625178</v>
      </c>
    </row>
    <row r="41" spans="1:72" x14ac:dyDescent="0.25">
      <c r="A41" s="2" t="s">
        <v>82</v>
      </c>
      <c r="B41" s="1">
        <f t="shared" si="2"/>
        <v>0</v>
      </c>
      <c r="C41" s="1">
        <f t="shared" si="5"/>
        <v>0.69897000433601886</v>
      </c>
      <c r="D41" s="1">
        <f t="shared" si="5"/>
        <v>0</v>
      </c>
      <c r="E41" s="1">
        <f t="shared" si="5"/>
        <v>0</v>
      </c>
      <c r="F41" s="1">
        <f t="shared" si="5"/>
        <v>0</v>
      </c>
      <c r="G41" s="1">
        <f t="shared" si="5"/>
        <v>0</v>
      </c>
      <c r="H41" s="1">
        <f t="shared" si="5"/>
        <v>0</v>
      </c>
      <c r="I41" s="1">
        <f t="shared" si="5"/>
        <v>0</v>
      </c>
      <c r="J41" s="1">
        <f t="shared" si="5"/>
        <v>0</v>
      </c>
      <c r="K41" s="1">
        <f t="shared" si="5"/>
        <v>0</v>
      </c>
      <c r="L41" s="1">
        <f t="shared" si="5"/>
        <v>0</v>
      </c>
      <c r="M41" s="1">
        <f t="shared" si="5"/>
        <v>0</v>
      </c>
      <c r="N41" s="1">
        <f t="shared" si="5"/>
        <v>0.69897000433601886</v>
      </c>
      <c r="O41" s="1">
        <f t="shared" si="5"/>
        <v>0</v>
      </c>
      <c r="P41" s="1">
        <f t="shared" si="5"/>
        <v>0</v>
      </c>
      <c r="Q41" s="1">
        <f t="shared" si="5"/>
        <v>0</v>
      </c>
      <c r="R41" s="1">
        <f t="shared" si="5"/>
        <v>1.3617278360175928</v>
      </c>
      <c r="S41" s="1">
        <f t="shared" si="5"/>
        <v>0</v>
      </c>
      <c r="T41" s="1">
        <f t="shared" si="5"/>
        <v>0</v>
      </c>
      <c r="U41" s="1">
        <f t="shared" si="5"/>
        <v>0</v>
      </c>
      <c r="V41" s="1">
        <f t="shared" si="5"/>
        <v>1.0413926851582251</v>
      </c>
      <c r="W41" s="1">
        <f t="shared" si="5"/>
        <v>0</v>
      </c>
      <c r="X41" s="1">
        <f t="shared" si="5"/>
        <v>0</v>
      </c>
      <c r="Y41" s="1">
        <f t="shared" si="5"/>
        <v>0.47712125471966244</v>
      </c>
      <c r="Z41" s="1">
        <f t="shared" si="5"/>
        <v>0.47712125471966244</v>
      </c>
      <c r="AA41" s="1">
        <f t="shared" si="5"/>
        <v>0</v>
      </c>
      <c r="AB41" s="1">
        <f t="shared" si="5"/>
        <v>1.4913616938342726</v>
      </c>
      <c r="AC41" s="1">
        <f t="shared" si="5"/>
        <v>1.4313637641589874</v>
      </c>
      <c r="AD41" s="1">
        <f t="shared" si="5"/>
        <v>0</v>
      </c>
      <c r="AE41" s="1">
        <f t="shared" si="5"/>
        <v>0</v>
      </c>
      <c r="AF41" s="1">
        <f t="shared" si="5"/>
        <v>0</v>
      </c>
      <c r="AG41" s="1">
        <f t="shared" si="5"/>
        <v>0</v>
      </c>
      <c r="AH41" s="1">
        <f t="shared" si="5"/>
        <v>0</v>
      </c>
      <c r="AI41" s="1">
        <f t="shared" si="5"/>
        <v>0</v>
      </c>
      <c r="AJ41" s="1">
        <f t="shared" si="5"/>
        <v>0</v>
      </c>
      <c r="AK41" s="1">
        <f t="shared" si="5"/>
        <v>0</v>
      </c>
      <c r="AL41" s="1">
        <f t="shared" si="5"/>
        <v>0</v>
      </c>
      <c r="AM41" s="1">
        <f t="shared" si="5"/>
        <v>0</v>
      </c>
      <c r="AN41" s="1">
        <f t="shared" si="5"/>
        <v>0</v>
      </c>
      <c r="AO41" s="1">
        <f t="shared" si="5"/>
        <v>0</v>
      </c>
      <c r="AP41" s="1">
        <f t="shared" si="5"/>
        <v>0</v>
      </c>
      <c r="AQ41" s="1">
        <f t="shared" si="5"/>
        <v>0</v>
      </c>
      <c r="AR41" s="1">
        <f t="shared" si="5"/>
        <v>0</v>
      </c>
      <c r="AS41" s="1">
        <f t="shared" si="5"/>
        <v>0</v>
      </c>
      <c r="AT41" s="1">
        <f t="shared" si="5"/>
        <v>0</v>
      </c>
      <c r="AU41" s="1">
        <f t="shared" si="5"/>
        <v>1.0413926851582251</v>
      </c>
      <c r="AV41" s="1">
        <f t="shared" si="5"/>
        <v>0</v>
      </c>
      <c r="AW41" s="1">
        <f t="shared" si="5"/>
        <v>0</v>
      </c>
      <c r="AX41" s="1">
        <f t="shared" si="5"/>
        <v>0</v>
      </c>
      <c r="AY41" s="1">
        <f t="shared" si="5"/>
        <v>0</v>
      </c>
      <c r="AZ41" s="1">
        <f t="shared" si="5"/>
        <v>0</v>
      </c>
      <c r="BA41" s="1">
        <f t="shared" si="5"/>
        <v>0</v>
      </c>
      <c r="BB41" s="1">
        <f t="shared" si="5"/>
        <v>0.84509804001425681</v>
      </c>
      <c r="BC41" s="1">
        <f t="shared" si="5"/>
        <v>0</v>
      </c>
      <c r="BD41" s="1">
        <f t="shared" si="5"/>
        <v>0</v>
      </c>
      <c r="BE41" s="1">
        <f t="shared" si="5"/>
        <v>0.95424250943932487</v>
      </c>
      <c r="BF41" s="1">
        <f t="shared" si="5"/>
        <v>0</v>
      </c>
      <c r="BG41" s="1">
        <f t="shared" si="5"/>
        <v>0</v>
      </c>
      <c r="BH41" s="1">
        <f t="shared" si="5"/>
        <v>0</v>
      </c>
      <c r="BI41" s="1">
        <f t="shared" si="5"/>
        <v>0</v>
      </c>
      <c r="BJ41" s="1">
        <f t="shared" si="5"/>
        <v>0</v>
      </c>
      <c r="BK41" s="1">
        <f t="shared" si="5"/>
        <v>0</v>
      </c>
      <c r="BL41" s="1">
        <f t="shared" si="5"/>
        <v>0</v>
      </c>
      <c r="BM41" s="1">
        <f t="shared" si="5"/>
        <v>0</v>
      </c>
      <c r="BN41" s="1">
        <f t="shared" si="5"/>
        <v>0</v>
      </c>
      <c r="BO41" s="1">
        <f t="shared" si="4"/>
        <v>0</v>
      </c>
      <c r="BP41" s="1">
        <f t="shared" si="4"/>
        <v>0</v>
      </c>
      <c r="BQ41" s="1">
        <f t="shared" si="4"/>
        <v>0.47712125471966244</v>
      </c>
      <c r="BR41" s="1">
        <f t="shared" si="4"/>
        <v>0</v>
      </c>
      <c r="BS41" s="1">
        <f t="shared" si="4"/>
        <v>0.47712125471966244</v>
      </c>
      <c r="BT41" s="1">
        <f t="shared" si="4"/>
        <v>0</v>
      </c>
    </row>
    <row r="42" spans="1:72" x14ac:dyDescent="0.25">
      <c r="A42" s="2" t="s">
        <v>83</v>
      </c>
      <c r="B42" s="1">
        <f t="shared" si="2"/>
        <v>2.0453229787866576</v>
      </c>
      <c r="C42" s="1">
        <f t="shared" si="5"/>
        <v>2.2900346113625178</v>
      </c>
      <c r="D42" s="1">
        <f t="shared" si="5"/>
        <v>2.0453229787866576</v>
      </c>
      <c r="E42" s="1">
        <f t="shared" si="5"/>
        <v>1.6127838567197355</v>
      </c>
      <c r="F42" s="1">
        <f t="shared" si="5"/>
        <v>2.0681858617461617</v>
      </c>
      <c r="G42" s="1">
        <f t="shared" si="5"/>
        <v>1.7242758696007889</v>
      </c>
      <c r="H42" s="1">
        <f t="shared" si="5"/>
        <v>1.4623979978989561</v>
      </c>
      <c r="I42" s="1">
        <f t="shared" si="5"/>
        <v>2.0293837776852097</v>
      </c>
      <c r="J42" s="1">
        <f t="shared" si="5"/>
        <v>2.0681858617461617</v>
      </c>
      <c r="K42" s="1">
        <f t="shared" si="5"/>
        <v>0</v>
      </c>
      <c r="L42" s="1">
        <f t="shared" si="5"/>
        <v>1.5910646070264991</v>
      </c>
      <c r="M42" s="1">
        <f t="shared" si="5"/>
        <v>1.7403626894942439</v>
      </c>
      <c r="N42" s="1">
        <f t="shared" si="5"/>
        <v>2.4814426285023048</v>
      </c>
      <c r="O42" s="1">
        <f t="shared" si="5"/>
        <v>1.4313637641589874</v>
      </c>
      <c r="P42" s="1">
        <f t="shared" si="5"/>
        <v>1.8260748027008264</v>
      </c>
      <c r="Q42" s="1">
        <f t="shared" si="5"/>
        <v>1.2787536009528289</v>
      </c>
      <c r="R42" s="1">
        <f t="shared" si="5"/>
        <v>2.3560258571931225</v>
      </c>
      <c r="S42" s="1">
        <f t="shared" si="5"/>
        <v>1.7853298350107671</v>
      </c>
      <c r="T42" s="1">
        <f t="shared" si="5"/>
        <v>2.0211892990699383</v>
      </c>
      <c r="U42" s="1">
        <f t="shared" si="5"/>
        <v>0.47712125471966244</v>
      </c>
      <c r="V42" s="1">
        <f t="shared" si="5"/>
        <v>1.4623979978989561</v>
      </c>
      <c r="W42" s="1">
        <f t="shared" si="5"/>
        <v>1.9395192526186185</v>
      </c>
      <c r="X42" s="1">
        <f t="shared" si="5"/>
        <v>2.0681858617461617</v>
      </c>
      <c r="Y42" s="1">
        <f t="shared" si="5"/>
        <v>0.47712125471966244</v>
      </c>
      <c r="Z42" s="1">
        <f t="shared" si="5"/>
        <v>0</v>
      </c>
      <c r="AA42" s="1">
        <f t="shared" si="5"/>
        <v>1.568201724066995</v>
      </c>
      <c r="AB42" s="1">
        <f t="shared" si="5"/>
        <v>2.4756711883244296</v>
      </c>
      <c r="AC42" s="1">
        <f t="shared" si="5"/>
        <v>2.4232458739368079</v>
      </c>
      <c r="AD42" s="1">
        <f t="shared" si="5"/>
        <v>0</v>
      </c>
      <c r="AE42" s="1">
        <f t="shared" si="5"/>
        <v>0</v>
      </c>
      <c r="AF42" s="1">
        <f t="shared" si="5"/>
        <v>0</v>
      </c>
      <c r="AG42" s="1">
        <f t="shared" si="5"/>
        <v>2.2013971243204513</v>
      </c>
      <c r="AH42" s="1">
        <f t="shared" si="5"/>
        <v>2.3783979009481375</v>
      </c>
      <c r="AI42" s="1">
        <f t="shared" si="5"/>
        <v>1.8129133566428555</v>
      </c>
      <c r="AJ42" s="1">
        <f t="shared" si="5"/>
        <v>1.6720978579357175</v>
      </c>
      <c r="AK42" s="1">
        <f t="shared" si="5"/>
        <v>0</v>
      </c>
      <c r="AL42" s="1">
        <f t="shared" si="5"/>
        <v>0</v>
      </c>
      <c r="AM42" s="1">
        <f t="shared" si="5"/>
        <v>1.3617278360175928</v>
      </c>
      <c r="AN42" s="1">
        <f t="shared" si="5"/>
        <v>0</v>
      </c>
      <c r="AO42" s="1">
        <f t="shared" si="5"/>
        <v>0</v>
      </c>
      <c r="AP42" s="1">
        <f t="shared" si="5"/>
        <v>0</v>
      </c>
      <c r="AQ42" s="1">
        <f t="shared" si="5"/>
        <v>0.47712125471966244</v>
      </c>
      <c r="AR42" s="1">
        <f t="shared" si="5"/>
        <v>2.2528530309798933</v>
      </c>
      <c r="AS42" s="1">
        <f t="shared" si="5"/>
        <v>1.4913616938342726</v>
      </c>
      <c r="AT42" s="1">
        <f t="shared" si="5"/>
        <v>1.6334684555795864</v>
      </c>
      <c r="AU42" s="1">
        <f t="shared" si="5"/>
        <v>1.8388490907372552</v>
      </c>
      <c r="AV42" s="1">
        <f t="shared" si="5"/>
        <v>1.7558748556724915</v>
      </c>
      <c r="AW42" s="1">
        <f t="shared" si="5"/>
        <v>1.1139433523068367</v>
      </c>
      <c r="AX42" s="1">
        <f t="shared" si="5"/>
        <v>1.0413926851582251</v>
      </c>
      <c r="AY42" s="1">
        <f t="shared" si="5"/>
        <v>0</v>
      </c>
      <c r="AZ42" s="1">
        <f t="shared" si="5"/>
        <v>1.2787536009528289</v>
      </c>
      <c r="BA42" s="1">
        <f t="shared" si="5"/>
        <v>0</v>
      </c>
      <c r="BB42" s="1">
        <f t="shared" si="5"/>
        <v>1.919078092376074</v>
      </c>
      <c r="BC42" s="1">
        <f t="shared" si="5"/>
        <v>2.4927603890268375</v>
      </c>
      <c r="BD42" s="1">
        <f t="shared" si="5"/>
        <v>2.5276299008713385</v>
      </c>
      <c r="BE42" s="1">
        <f t="shared" si="5"/>
        <v>2.5717088318086878</v>
      </c>
      <c r="BF42" s="1">
        <f t="shared" si="5"/>
        <v>2.4871383754771865</v>
      </c>
      <c r="BG42" s="1">
        <f t="shared" si="5"/>
        <v>2.2430380486862944</v>
      </c>
      <c r="BH42" s="1">
        <f t="shared" si="5"/>
        <v>1.1760912590556813</v>
      </c>
      <c r="BI42" s="1">
        <f t="shared" si="5"/>
        <v>0</v>
      </c>
      <c r="BJ42" s="1">
        <f t="shared" si="5"/>
        <v>0</v>
      </c>
      <c r="BK42" s="1">
        <f t="shared" si="5"/>
        <v>1.5185139398778875</v>
      </c>
      <c r="BL42" s="1">
        <f t="shared" si="5"/>
        <v>1.6901960800285136</v>
      </c>
      <c r="BM42" s="1">
        <f t="shared" si="5"/>
        <v>1.6720978579357175</v>
      </c>
      <c r="BN42" s="1">
        <f t="shared" ref="BN42:BT45" si="6">LOG(BN11+1)</f>
        <v>2.0899051114393981</v>
      </c>
      <c r="BO42" s="1">
        <f t="shared" si="6"/>
        <v>1.2304489213782739</v>
      </c>
      <c r="BP42" s="1">
        <f t="shared" si="6"/>
        <v>1.568201724066995</v>
      </c>
      <c r="BQ42" s="1">
        <f t="shared" si="6"/>
        <v>1.8750612633917001</v>
      </c>
      <c r="BR42" s="1">
        <f t="shared" si="6"/>
        <v>2.4548448600085102</v>
      </c>
      <c r="BS42" s="1">
        <f t="shared" si="6"/>
        <v>1.5440680443502757</v>
      </c>
      <c r="BT42" s="1">
        <f t="shared" si="6"/>
        <v>2.0293837776852097</v>
      </c>
    </row>
    <row r="43" spans="1:72" x14ac:dyDescent="0.25">
      <c r="A43" s="2" t="s">
        <v>84</v>
      </c>
      <c r="B43" s="1">
        <f t="shared" si="2"/>
        <v>1.4623979978989561</v>
      </c>
      <c r="C43" s="1">
        <f t="shared" ref="C43:BN46" si="7">LOG(C12+1)</f>
        <v>1.6334684555795864</v>
      </c>
      <c r="D43" s="1">
        <f t="shared" si="7"/>
        <v>1.2787536009528289</v>
      </c>
      <c r="E43" s="1">
        <f t="shared" si="7"/>
        <v>1.5910646070264991</v>
      </c>
      <c r="F43" s="1">
        <f t="shared" si="7"/>
        <v>1.9084850188786497</v>
      </c>
      <c r="G43" s="1">
        <f t="shared" si="7"/>
        <v>1.5185139398778875</v>
      </c>
      <c r="H43" s="1">
        <f t="shared" si="7"/>
        <v>1.9084850188786497</v>
      </c>
      <c r="I43" s="1">
        <f t="shared" si="7"/>
        <v>1.1139433523068367</v>
      </c>
      <c r="J43" s="1">
        <f t="shared" si="7"/>
        <v>0.84509804001425681</v>
      </c>
      <c r="K43" s="1">
        <f t="shared" si="7"/>
        <v>0</v>
      </c>
      <c r="L43" s="1">
        <f t="shared" si="7"/>
        <v>1.919078092376074</v>
      </c>
      <c r="M43" s="1">
        <f t="shared" si="7"/>
        <v>1.9084850188786497</v>
      </c>
      <c r="N43" s="1">
        <f t="shared" si="7"/>
        <v>2.2528530309798933</v>
      </c>
      <c r="O43" s="1">
        <f t="shared" si="7"/>
        <v>0</v>
      </c>
      <c r="P43" s="1">
        <f t="shared" si="7"/>
        <v>1.9590413923210936</v>
      </c>
      <c r="Q43" s="1">
        <f t="shared" si="7"/>
        <v>1.3979400086720377</v>
      </c>
      <c r="R43" s="1">
        <f t="shared" si="7"/>
        <v>1.9493900066449128</v>
      </c>
      <c r="S43" s="1">
        <f t="shared" si="7"/>
        <v>0</v>
      </c>
      <c r="T43" s="1">
        <f t="shared" si="7"/>
        <v>2.0755469613925306</v>
      </c>
      <c r="U43" s="1">
        <f t="shared" si="7"/>
        <v>0</v>
      </c>
      <c r="V43" s="1">
        <f t="shared" si="7"/>
        <v>1.4623979978989561</v>
      </c>
      <c r="W43" s="1">
        <f t="shared" si="7"/>
        <v>1.5910646070264991</v>
      </c>
      <c r="X43" s="1">
        <f t="shared" si="7"/>
        <v>2.3926969532596658</v>
      </c>
      <c r="Y43" s="1">
        <f t="shared" si="7"/>
        <v>1.3979400086720377</v>
      </c>
      <c r="Z43" s="1">
        <f t="shared" si="7"/>
        <v>1.3979400086720377</v>
      </c>
      <c r="AA43" s="1">
        <f t="shared" si="7"/>
        <v>1.2787536009528289</v>
      </c>
      <c r="AB43" s="1">
        <f t="shared" si="7"/>
        <v>2.0293837776852097</v>
      </c>
      <c r="AC43" s="1">
        <f t="shared" si="7"/>
        <v>2.173186268412274</v>
      </c>
      <c r="AD43" s="1">
        <f t="shared" si="7"/>
        <v>0.47712125471966244</v>
      </c>
      <c r="AE43" s="1">
        <f t="shared" si="7"/>
        <v>1.3617278360175928</v>
      </c>
      <c r="AF43" s="1">
        <f t="shared" si="7"/>
        <v>0</v>
      </c>
      <c r="AG43" s="1">
        <f t="shared" si="7"/>
        <v>2.2624510897304293</v>
      </c>
      <c r="AH43" s="1">
        <f t="shared" si="7"/>
        <v>1.7403626894942439</v>
      </c>
      <c r="AI43" s="1">
        <f t="shared" si="7"/>
        <v>2.0755469613925306</v>
      </c>
      <c r="AJ43" s="1">
        <f t="shared" si="7"/>
        <v>0.84509804001425681</v>
      </c>
      <c r="AK43" s="1">
        <f t="shared" si="7"/>
        <v>1.4313637641589874</v>
      </c>
      <c r="AL43" s="1">
        <f t="shared" si="7"/>
        <v>0</v>
      </c>
      <c r="AM43" s="1">
        <f t="shared" si="7"/>
        <v>1.5440680443502757</v>
      </c>
      <c r="AN43" s="1">
        <f t="shared" si="7"/>
        <v>1.0413926851582251</v>
      </c>
      <c r="AO43" s="1">
        <f t="shared" si="7"/>
        <v>1.4913616938342726</v>
      </c>
      <c r="AP43" s="1">
        <f t="shared" si="7"/>
        <v>1.6127838567197355</v>
      </c>
      <c r="AQ43" s="1">
        <f t="shared" si="7"/>
        <v>0</v>
      </c>
      <c r="AR43" s="1">
        <f t="shared" si="7"/>
        <v>1.7708520116421442</v>
      </c>
      <c r="AS43" s="1">
        <f t="shared" si="7"/>
        <v>0</v>
      </c>
      <c r="AT43" s="1">
        <f t="shared" si="7"/>
        <v>1.3617278360175928</v>
      </c>
      <c r="AU43" s="1">
        <f t="shared" si="7"/>
        <v>1.7853298350107671</v>
      </c>
      <c r="AV43" s="1">
        <f t="shared" si="7"/>
        <v>1.0413926851582251</v>
      </c>
      <c r="AW43" s="1">
        <f t="shared" si="7"/>
        <v>0</v>
      </c>
      <c r="AX43" s="1">
        <f t="shared" si="7"/>
        <v>0</v>
      </c>
      <c r="AY43" s="1">
        <f t="shared" si="7"/>
        <v>0.95424250943932487</v>
      </c>
      <c r="AZ43" s="1">
        <f t="shared" si="7"/>
        <v>0.47712125471966244</v>
      </c>
      <c r="BA43" s="1">
        <f t="shared" si="7"/>
        <v>1.6532125137753437</v>
      </c>
      <c r="BB43" s="1">
        <f t="shared" si="7"/>
        <v>1.7075701760979363</v>
      </c>
      <c r="BC43" s="1">
        <f t="shared" si="7"/>
        <v>2.1553360374650619</v>
      </c>
      <c r="BD43" s="1">
        <f t="shared" si="7"/>
        <v>2.3891660843645326</v>
      </c>
      <c r="BE43" s="1">
        <f t="shared" si="7"/>
        <v>2.0453229787866576</v>
      </c>
      <c r="BF43" s="1">
        <f t="shared" si="7"/>
        <v>1.7853298350107671</v>
      </c>
      <c r="BG43" s="1">
        <f t="shared" si="7"/>
        <v>1.7558748556724915</v>
      </c>
      <c r="BH43" s="1">
        <f t="shared" si="7"/>
        <v>1.2304489213782739</v>
      </c>
      <c r="BI43" s="1">
        <f t="shared" si="7"/>
        <v>1.2304489213782739</v>
      </c>
      <c r="BJ43" s="1">
        <f t="shared" si="7"/>
        <v>0</v>
      </c>
      <c r="BK43" s="1">
        <f t="shared" si="7"/>
        <v>0.69897000433601886</v>
      </c>
      <c r="BL43" s="1">
        <f t="shared" si="7"/>
        <v>0.95424250943932487</v>
      </c>
      <c r="BM43" s="1">
        <f t="shared" si="7"/>
        <v>0.69897000433601886</v>
      </c>
      <c r="BN43" s="1">
        <f t="shared" si="7"/>
        <v>3.6058435390580894</v>
      </c>
      <c r="BO43" s="1">
        <f t="shared" si="6"/>
        <v>1.5910646070264991</v>
      </c>
      <c r="BP43" s="1">
        <f t="shared" si="6"/>
        <v>0.84509804001425681</v>
      </c>
      <c r="BQ43" s="1">
        <f t="shared" si="6"/>
        <v>1.6901960800285136</v>
      </c>
      <c r="BR43" s="1">
        <f t="shared" si="6"/>
        <v>2.2227164711475833</v>
      </c>
      <c r="BS43" s="1">
        <f t="shared" si="6"/>
        <v>1.8976270912904414</v>
      </c>
      <c r="BT43" s="1">
        <f t="shared" si="6"/>
        <v>1.8388490907372552</v>
      </c>
    </row>
    <row r="44" spans="1:72" x14ac:dyDescent="0.25">
      <c r="A44" s="2" t="s">
        <v>85</v>
      </c>
      <c r="B44" s="1">
        <f t="shared" si="2"/>
        <v>3.604334073102911</v>
      </c>
      <c r="C44" s="1">
        <f t="shared" si="7"/>
        <v>2.4548448600085102</v>
      </c>
      <c r="D44" s="1">
        <f t="shared" si="7"/>
        <v>2.6364878963533656</v>
      </c>
      <c r="E44" s="1">
        <f t="shared" si="7"/>
        <v>2.0043213737826426</v>
      </c>
      <c r="F44" s="1">
        <f t="shared" si="7"/>
        <v>1.2787536009528289</v>
      </c>
      <c r="G44" s="1">
        <f t="shared" si="7"/>
        <v>2.1846914308175989</v>
      </c>
      <c r="H44" s="1">
        <f t="shared" si="7"/>
        <v>1.9956351945975499</v>
      </c>
      <c r="I44" s="1">
        <f t="shared" si="7"/>
        <v>1.9493900066449128</v>
      </c>
      <c r="J44" s="1">
        <f t="shared" si="7"/>
        <v>2.9025467793139912</v>
      </c>
      <c r="K44" s="1">
        <f t="shared" si="7"/>
        <v>1.7993405494535817</v>
      </c>
      <c r="L44" s="1">
        <f t="shared" si="7"/>
        <v>2.3598354823398879</v>
      </c>
      <c r="M44" s="1">
        <f t="shared" si="7"/>
        <v>2.1613680022349748</v>
      </c>
      <c r="N44" s="1">
        <f t="shared" si="7"/>
        <v>2.8162412999917832</v>
      </c>
      <c r="O44" s="1">
        <f t="shared" si="7"/>
        <v>2.2174839442139063</v>
      </c>
      <c r="P44" s="1">
        <f t="shared" si="7"/>
        <v>2.3283796034387376</v>
      </c>
      <c r="Q44" s="1">
        <f t="shared" si="7"/>
        <v>1.5440680443502757</v>
      </c>
      <c r="R44" s="1">
        <f t="shared" si="7"/>
        <v>2.7347998295888472</v>
      </c>
      <c r="S44" s="1">
        <f t="shared" si="7"/>
        <v>2.0530784434834195</v>
      </c>
      <c r="T44" s="1">
        <f t="shared" si="7"/>
        <v>2.3961993470957363</v>
      </c>
      <c r="U44" s="1">
        <f t="shared" si="7"/>
        <v>1.7993405494535817</v>
      </c>
      <c r="V44" s="1">
        <f t="shared" si="7"/>
        <v>2.2013971243204513</v>
      </c>
      <c r="W44" s="1">
        <f t="shared" si="7"/>
        <v>2.3117538610557542</v>
      </c>
      <c r="X44" s="1">
        <f t="shared" si="7"/>
        <v>2.4756711883244296</v>
      </c>
      <c r="Y44" s="1">
        <f t="shared" si="7"/>
        <v>1.9084850188786497</v>
      </c>
      <c r="Z44" s="1">
        <f t="shared" si="7"/>
        <v>0.47712125471966244</v>
      </c>
      <c r="AA44" s="1">
        <f t="shared" si="7"/>
        <v>0.47712125471966244</v>
      </c>
      <c r="AB44" s="1">
        <f t="shared" si="7"/>
        <v>2.9670797341444972</v>
      </c>
      <c r="AC44" s="1">
        <f t="shared" si="7"/>
        <v>2.9329808219231981</v>
      </c>
      <c r="AD44" s="1">
        <f t="shared" si="7"/>
        <v>1.5185139398778875</v>
      </c>
      <c r="AE44" s="1">
        <f t="shared" si="7"/>
        <v>1.8976270912904414</v>
      </c>
      <c r="AF44" s="1">
        <f t="shared" si="7"/>
        <v>1.1139433523068367</v>
      </c>
      <c r="AG44" s="1">
        <f t="shared" si="7"/>
        <v>2.5809249756756194</v>
      </c>
      <c r="AH44" s="1">
        <f t="shared" si="7"/>
        <v>2.2764618041732443</v>
      </c>
      <c r="AI44" s="1">
        <f t="shared" si="7"/>
        <v>2.3598354823398879</v>
      </c>
      <c r="AJ44" s="1">
        <f t="shared" si="7"/>
        <v>1.6720978579357175</v>
      </c>
      <c r="AK44" s="1">
        <f t="shared" si="7"/>
        <v>1.4623979978989561</v>
      </c>
      <c r="AL44" s="1">
        <f t="shared" si="7"/>
        <v>0</v>
      </c>
      <c r="AM44" s="1">
        <f t="shared" si="7"/>
        <v>1.3617278360175928</v>
      </c>
      <c r="AN44" s="1">
        <f t="shared" si="7"/>
        <v>1.2304489213782739</v>
      </c>
      <c r="AO44" s="1">
        <f t="shared" si="7"/>
        <v>1.7993405494535817</v>
      </c>
      <c r="AP44" s="1">
        <f t="shared" si="7"/>
        <v>1.7242758696007889</v>
      </c>
      <c r="AQ44" s="1">
        <f t="shared" si="7"/>
        <v>0</v>
      </c>
      <c r="AR44" s="1">
        <f t="shared" si="7"/>
        <v>2.173186268412274</v>
      </c>
      <c r="AS44" s="1">
        <f t="shared" si="7"/>
        <v>2.1367205671564067</v>
      </c>
      <c r="AT44" s="1">
        <f t="shared" si="7"/>
        <v>1.4623979978989561</v>
      </c>
      <c r="AU44" s="1">
        <f t="shared" si="7"/>
        <v>3.110252917353403</v>
      </c>
      <c r="AV44" s="1">
        <f t="shared" si="7"/>
        <v>2.2121876044039577</v>
      </c>
      <c r="AW44" s="1">
        <f t="shared" si="7"/>
        <v>1.9493900066449128</v>
      </c>
      <c r="AX44" s="1">
        <f t="shared" si="7"/>
        <v>1.7558748556724915</v>
      </c>
      <c r="AY44" s="1">
        <f t="shared" si="7"/>
        <v>0.69897000433601886</v>
      </c>
      <c r="AZ44" s="1">
        <f t="shared" si="7"/>
        <v>1.2787536009528289</v>
      </c>
      <c r="BA44" s="1">
        <f t="shared" si="7"/>
        <v>1.7403626894942439</v>
      </c>
      <c r="BB44" s="1">
        <f t="shared" si="7"/>
        <v>2.514547752660286</v>
      </c>
      <c r="BC44" s="1">
        <f t="shared" si="7"/>
        <v>2.7803173121401512</v>
      </c>
      <c r="BD44" s="1">
        <f t="shared" si="7"/>
        <v>2.6693168805661123</v>
      </c>
      <c r="BE44" s="1">
        <f t="shared" si="7"/>
        <v>2.7151673578484576</v>
      </c>
      <c r="BF44" s="1">
        <f t="shared" si="7"/>
        <v>2.0211892990699383</v>
      </c>
      <c r="BG44" s="1">
        <f t="shared" si="7"/>
        <v>2.143014800254095</v>
      </c>
      <c r="BH44" s="1">
        <f t="shared" si="7"/>
        <v>1.5185139398778875</v>
      </c>
      <c r="BI44" s="1">
        <f t="shared" si="7"/>
        <v>1.8633228601204559</v>
      </c>
      <c r="BJ44" s="1">
        <f t="shared" si="7"/>
        <v>0</v>
      </c>
      <c r="BK44" s="1">
        <f t="shared" si="7"/>
        <v>1.8864907251724818</v>
      </c>
      <c r="BL44" s="1">
        <f t="shared" si="7"/>
        <v>1.2304489213782739</v>
      </c>
      <c r="BM44" s="1">
        <f t="shared" si="7"/>
        <v>1.7853298350107671</v>
      </c>
      <c r="BN44" s="1">
        <f t="shared" si="7"/>
        <v>1.5440680443502757</v>
      </c>
      <c r="BO44" s="1">
        <f t="shared" si="6"/>
        <v>1.6901960800285136</v>
      </c>
      <c r="BP44" s="1">
        <f t="shared" si="6"/>
        <v>1.968482948553935</v>
      </c>
      <c r="BQ44" s="1">
        <f t="shared" si="6"/>
        <v>1.1139433523068367</v>
      </c>
      <c r="BR44" s="1">
        <f t="shared" si="6"/>
        <v>2.6803355134145632</v>
      </c>
      <c r="BS44" s="1">
        <f t="shared" si="6"/>
        <v>2.012837224705172</v>
      </c>
      <c r="BT44" s="1">
        <f t="shared" si="6"/>
        <v>1.9084850188786497</v>
      </c>
    </row>
    <row r="45" spans="1:72" x14ac:dyDescent="0.25">
      <c r="A45" s="2" t="s">
        <v>86</v>
      </c>
      <c r="B45" s="1">
        <f t="shared" si="2"/>
        <v>2.5693739096150461</v>
      </c>
      <c r="C45" s="1">
        <f t="shared" si="7"/>
        <v>1.7403626894942439</v>
      </c>
      <c r="D45" s="1">
        <f t="shared" si="7"/>
        <v>1.7558748556724915</v>
      </c>
      <c r="E45" s="1">
        <f t="shared" si="7"/>
        <v>1.6532125137753437</v>
      </c>
      <c r="F45" s="1">
        <f t="shared" si="7"/>
        <v>1.3979400086720377</v>
      </c>
      <c r="G45" s="1">
        <f t="shared" si="7"/>
        <v>1.5185139398778875</v>
      </c>
      <c r="H45" s="1">
        <f t="shared" si="7"/>
        <v>1.1139433523068367</v>
      </c>
      <c r="I45" s="1">
        <f t="shared" si="7"/>
        <v>1.3222192947339193</v>
      </c>
      <c r="J45" s="1">
        <f t="shared" si="7"/>
        <v>1.8976270912904414</v>
      </c>
      <c r="K45" s="1">
        <f t="shared" si="7"/>
        <v>0</v>
      </c>
      <c r="L45" s="1">
        <f t="shared" si="7"/>
        <v>1.5185139398778875</v>
      </c>
      <c r="M45" s="1">
        <f t="shared" si="7"/>
        <v>1.4313637641589874</v>
      </c>
      <c r="N45" s="1">
        <f t="shared" si="7"/>
        <v>2.1238516409670858</v>
      </c>
      <c r="O45" s="1">
        <f t="shared" si="7"/>
        <v>0</v>
      </c>
      <c r="P45" s="1">
        <f t="shared" si="7"/>
        <v>1.9493900066449128</v>
      </c>
      <c r="Q45" s="1">
        <f t="shared" si="7"/>
        <v>1.4913616938342726</v>
      </c>
      <c r="R45" s="1">
        <f t="shared" si="7"/>
        <v>2.0293837776852097</v>
      </c>
      <c r="S45" s="1">
        <f t="shared" si="7"/>
        <v>1.4313637641589874</v>
      </c>
      <c r="T45" s="1">
        <f t="shared" si="7"/>
        <v>1.7558748556724915</v>
      </c>
      <c r="U45" s="1">
        <f t="shared" si="7"/>
        <v>0</v>
      </c>
      <c r="V45" s="1">
        <f t="shared" si="7"/>
        <v>1.5910646070264991</v>
      </c>
      <c r="W45" s="1">
        <f t="shared" si="7"/>
        <v>1.7558748556724915</v>
      </c>
      <c r="X45" s="1">
        <f t="shared" si="7"/>
        <v>1.7708520116421442</v>
      </c>
      <c r="Y45" s="1">
        <f t="shared" si="7"/>
        <v>1.7403626894942439</v>
      </c>
      <c r="Z45" s="1">
        <f t="shared" si="7"/>
        <v>0.84509804001425681</v>
      </c>
      <c r="AA45" s="1">
        <f t="shared" si="7"/>
        <v>0</v>
      </c>
      <c r="AB45" s="1">
        <f t="shared" si="7"/>
        <v>1.6334684555795864</v>
      </c>
      <c r="AC45" s="1">
        <f t="shared" si="7"/>
        <v>1.8512583487190752</v>
      </c>
      <c r="AD45" s="1">
        <f t="shared" si="7"/>
        <v>0</v>
      </c>
      <c r="AE45" s="1">
        <f t="shared" si="7"/>
        <v>0</v>
      </c>
      <c r="AF45" s="1">
        <f t="shared" si="7"/>
        <v>0</v>
      </c>
      <c r="AG45" s="1">
        <f t="shared" si="7"/>
        <v>1.6334684555795864</v>
      </c>
      <c r="AH45" s="1">
        <f t="shared" si="7"/>
        <v>0</v>
      </c>
      <c r="AI45" s="1">
        <f t="shared" si="7"/>
        <v>1.3617278360175928</v>
      </c>
      <c r="AJ45" s="1">
        <f t="shared" si="7"/>
        <v>1.5440680443502757</v>
      </c>
      <c r="AK45" s="1">
        <f t="shared" si="7"/>
        <v>1.1139433523068367</v>
      </c>
      <c r="AL45" s="1">
        <f t="shared" si="7"/>
        <v>0</v>
      </c>
      <c r="AM45" s="1">
        <f t="shared" si="7"/>
        <v>0</v>
      </c>
      <c r="AN45" s="1">
        <f t="shared" si="7"/>
        <v>1.4313637641589874</v>
      </c>
      <c r="AO45" s="1">
        <f t="shared" si="7"/>
        <v>1.5440680443502757</v>
      </c>
      <c r="AP45" s="1">
        <f t="shared" si="7"/>
        <v>0</v>
      </c>
      <c r="AQ45" s="1">
        <f t="shared" si="7"/>
        <v>0</v>
      </c>
      <c r="AR45" s="1">
        <f t="shared" si="7"/>
        <v>1.6127838567197355</v>
      </c>
      <c r="AS45" s="1">
        <f t="shared" si="7"/>
        <v>0</v>
      </c>
      <c r="AT45" s="1">
        <f t="shared" si="7"/>
        <v>1.8976270912904414</v>
      </c>
      <c r="AU45" s="1">
        <f t="shared" si="7"/>
        <v>2.4393326938302629</v>
      </c>
      <c r="AV45" s="1">
        <f t="shared" si="7"/>
        <v>1.5910646070264991</v>
      </c>
      <c r="AW45" s="1">
        <f t="shared" si="7"/>
        <v>0</v>
      </c>
      <c r="AX45" s="1">
        <f t="shared" si="7"/>
        <v>0</v>
      </c>
      <c r="AY45" s="1">
        <f t="shared" si="7"/>
        <v>0</v>
      </c>
      <c r="AZ45" s="1">
        <f t="shared" si="7"/>
        <v>0</v>
      </c>
      <c r="BA45" s="1">
        <f t="shared" si="7"/>
        <v>0</v>
      </c>
      <c r="BB45" s="1">
        <f t="shared" si="7"/>
        <v>0</v>
      </c>
      <c r="BC45" s="1">
        <f t="shared" si="7"/>
        <v>1.8750612633917001</v>
      </c>
      <c r="BD45" s="1">
        <f t="shared" si="7"/>
        <v>1.8864907251724818</v>
      </c>
      <c r="BE45" s="1">
        <f t="shared" si="7"/>
        <v>1.7853298350107671</v>
      </c>
      <c r="BF45" s="1">
        <f t="shared" si="7"/>
        <v>1.6334684555795864</v>
      </c>
      <c r="BG45" s="1">
        <f t="shared" si="7"/>
        <v>1.5440680443502757</v>
      </c>
      <c r="BH45" s="1">
        <f t="shared" si="7"/>
        <v>1.4313637641589874</v>
      </c>
      <c r="BI45" s="1">
        <f t="shared" si="7"/>
        <v>1.2304489213782739</v>
      </c>
      <c r="BJ45" s="1">
        <f t="shared" si="7"/>
        <v>0</v>
      </c>
      <c r="BK45" s="1">
        <f t="shared" si="7"/>
        <v>0</v>
      </c>
      <c r="BL45" s="1">
        <f t="shared" si="7"/>
        <v>1.6720978579357175</v>
      </c>
      <c r="BM45" s="1">
        <f t="shared" si="7"/>
        <v>2.1492191126553797</v>
      </c>
      <c r="BN45" s="1">
        <f t="shared" si="7"/>
        <v>1.1760912590556813</v>
      </c>
      <c r="BO45" s="1">
        <f t="shared" si="6"/>
        <v>0</v>
      </c>
      <c r="BP45" s="1">
        <f t="shared" si="6"/>
        <v>0</v>
      </c>
      <c r="BQ45" s="1">
        <f t="shared" si="6"/>
        <v>0</v>
      </c>
      <c r="BR45" s="1">
        <f t="shared" si="6"/>
        <v>2.0043213737826426</v>
      </c>
      <c r="BS45" s="1">
        <f t="shared" si="6"/>
        <v>0</v>
      </c>
      <c r="BT45" s="1">
        <f t="shared" si="6"/>
        <v>1.3979400086720377</v>
      </c>
    </row>
    <row r="46" spans="1:72" x14ac:dyDescent="0.25">
      <c r="A46" s="2" t="s">
        <v>87</v>
      </c>
      <c r="B46" s="1">
        <f t="shared" si="2"/>
        <v>2.8494194137968996</v>
      </c>
      <c r="C46" s="1">
        <f t="shared" si="7"/>
        <v>2.0374264979406238</v>
      </c>
      <c r="D46" s="1">
        <f t="shared" si="7"/>
        <v>2.4927603890268375</v>
      </c>
      <c r="E46" s="1">
        <f t="shared" si="7"/>
        <v>1.3617278360175928</v>
      </c>
      <c r="F46" s="1">
        <f t="shared" si="7"/>
        <v>1.4623979978989561</v>
      </c>
      <c r="G46" s="1">
        <f t="shared" si="7"/>
        <v>1.8750612633917001</v>
      </c>
      <c r="H46" s="1">
        <f t="shared" si="7"/>
        <v>0</v>
      </c>
      <c r="I46" s="1">
        <f t="shared" si="7"/>
        <v>1.4623979978989561</v>
      </c>
      <c r="J46" s="1">
        <f t="shared" si="7"/>
        <v>2.7458551951737289</v>
      </c>
      <c r="K46" s="1">
        <f t="shared" si="7"/>
        <v>0</v>
      </c>
      <c r="L46" s="1">
        <f t="shared" si="7"/>
        <v>1.9493900066449128</v>
      </c>
      <c r="M46" s="1">
        <f t="shared" si="7"/>
        <v>2.167317334748176</v>
      </c>
      <c r="N46" s="1">
        <f t="shared" si="7"/>
        <v>2.3598354823398879</v>
      </c>
      <c r="O46" s="1">
        <f t="shared" si="7"/>
        <v>1.3979400086720377</v>
      </c>
      <c r="P46" s="1">
        <f t="shared" si="7"/>
        <v>2.2380461031287955</v>
      </c>
      <c r="Q46" s="1">
        <f t="shared" si="7"/>
        <v>1.3979400086720377</v>
      </c>
      <c r="R46" s="1">
        <f t="shared" si="7"/>
        <v>2.403120521175818</v>
      </c>
      <c r="S46" s="1">
        <f t="shared" si="7"/>
        <v>1.7242758696007889</v>
      </c>
      <c r="T46" s="1">
        <f t="shared" si="7"/>
        <v>2.2278867046136734</v>
      </c>
      <c r="U46" s="1">
        <f t="shared" si="7"/>
        <v>1.568201724066995</v>
      </c>
      <c r="V46" s="1">
        <f t="shared" si="7"/>
        <v>1.9084850188786497</v>
      </c>
      <c r="W46" s="1">
        <f t="shared" si="7"/>
        <v>1.2304489213782739</v>
      </c>
      <c r="X46" s="1">
        <f t="shared" si="7"/>
        <v>2.3961993470957363</v>
      </c>
      <c r="Y46" s="1">
        <f t="shared" si="7"/>
        <v>1.7403626894942439</v>
      </c>
      <c r="Z46" s="1">
        <f t="shared" si="7"/>
        <v>1.5185139398778875</v>
      </c>
      <c r="AA46" s="1">
        <f t="shared" si="7"/>
        <v>1.1760912590556813</v>
      </c>
      <c r="AB46" s="1">
        <f t="shared" si="7"/>
        <v>2.5809249756756194</v>
      </c>
      <c r="AC46" s="1">
        <f t="shared" si="7"/>
        <v>2.4899584794248346</v>
      </c>
      <c r="AD46" s="1">
        <f t="shared" si="7"/>
        <v>1.5910646070264991</v>
      </c>
      <c r="AE46" s="1">
        <f t="shared" si="7"/>
        <v>0</v>
      </c>
      <c r="AF46" s="1">
        <f t="shared" si="7"/>
        <v>1.2787536009528289</v>
      </c>
      <c r="AG46" s="1">
        <f t="shared" si="7"/>
        <v>1.8864907251724818</v>
      </c>
      <c r="AH46" s="1">
        <f t="shared" si="7"/>
        <v>2.0827853703164503</v>
      </c>
      <c r="AI46" s="1">
        <f t="shared" si="7"/>
        <v>2.3483048630481607</v>
      </c>
      <c r="AJ46" s="1">
        <f t="shared" si="7"/>
        <v>1.8260748027008264</v>
      </c>
      <c r="AK46" s="1">
        <f t="shared" si="7"/>
        <v>0.47712125471966244</v>
      </c>
      <c r="AL46" s="1">
        <f t="shared" si="7"/>
        <v>0</v>
      </c>
      <c r="AM46" s="1">
        <f t="shared" si="7"/>
        <v>0</v>
      </c>
      <c r="AN46" s="1">
        <f t="shared" si="7"/>
        <v>1.2787536009528289</v>
      </c>
      <c r="AO46" s="1">
        <f t="shared" si="7"/>
        <v>1.5185139398778875</v>
      </c>
      <c r="AP46" s="1">
        <f t="shared" si="7"/>
        <v>0</v>
      </c>
      <c r="AQ46" s="1">
        <f t="shared" si="7"/>
        <v>1.7075701760979363</v>
      </c>
      <c r="AR46" s="1">
        <f t="shared" si="7"/>
        <v>2.2764618041732443</v>
      </c>
      <c r="AS46" s="1">
        <f t="shared" si="7"/>
        <v>1.1760912590556813</v>
      </c>
      <c r="AT46" s="1">
        <f t="shared" si="7"/>
        <v>1.9395192526186185</v>
      </c>
      <c r="AU46" s="1">
        <f t="shared" si="7"/>
        <v>2.6009728956867484</v>
      </c>
      <c r="AV46" s="1">
        <f t="shared" si="7"/>
        <v>0.69897000433601886</v>
      </c>
      <c r="AW46" s="1">
        <f t="shared" si="7"/>
        <v>1.8388490907372552</v>
      </c>
      <c r="AX46" s="1">
        <f t="shared" si="7"/>
        <v>1.6720978579357175</v>
      </c>
      <c r="AY46" s="1">
        <f t="shared" si="7"/>
        <v>0</v>
      </c>
      <c r="AZ46" s="1">
        <f t="shared" si="7"/>
        <v>1.7075701760979363</v>
      </c>
      <c r="BA46" s="1">
        <f t="shared" si="7"/>
        <v>0</v>
      </c>
      <c r="BB46" s="1">
        <f t="shared" si="7"/>
        <v>1.7242758696007889</v>
      </c>
      <c r="BC46" s="1">
        <f t="shared" si="7"/>
        <v>2.6201360549737576</v>
      </c>
      <c r="BD46" s="1">
        <f t="shared" si="7"/>
        <v>2.4456042032735974</v>
      </c>
      <c r="BE46" s="1">
        <f t="shared" si="7"/>
        <v>2.3521825181113627</v>
      </c>
      <c r="BF46" s="1">
        <f t="shared" si="7"/>
        <v>1.1760912590556813</v>
      </c>
      <c r="BG46" s="1">
        <f t="shared" si="7"/>
        <v>2.2013971243204513</v>
      </c>
      <c r="BH46" s="1">
        <f t="shared" si="7"/>
        <v>0</v>
      </c>
      <c r="BI46" s="1">
        <f t="shared" si="7"/>
        <v>0</v>
      </c>
      <c r="BJ46" s="1">
        <f t="shared" si="7"/>
        <v>0</v>
      </c>
      <c r="BK46" s="1">
        <f t="shared" si="7"/>
        <v>1.1760912590556813</v>
      </c>
      <c r="BL46" s="1">
        <f t="shared" si="7"/>
        <v>1.6127838567197355</v>
      </c>
      <c r="BM46" s="1">
        <f t="shared" si="7"/>
        <v>1.6720978579357175</v>
      </c>
      <c r="BN46" s="1">
        <f t="shared" ref="BN46:BT49" si="8">LOG(BN15+1)</f>
        <v>1.3222192947339193</v>
      </c>
      <c r="BO46" s="1">
        <f t="shared" si="8"/>
        <v>1.4313637641589874</v>
      </c>
      <c r="BP46" s="1">
        <f t="shared" si="8"/>
        <v>1.9590413923210936</v>
      </c>
      <c r="BQ46" s="1">
        <f t="shared" si="8"/>
        <v>1.5910646070264991</v>
      </c>
      <c r="BR46" s="1">
        <f t="shared" si="8"/>
        <v>2.3117538610557542</v>
      </c>
      <c r="BS46" s="1">
        <f t="shared" si="8"/>
        <v>1.9395192526186185</v>
      </c>
      <c r="BT46" s="1">
        <f t="shared" si="8"/>
        <v>1.1139433523068367</v>
      </c>
    </row>
    <row r="47" spans="1:72" x14ac:dyDescent="0.25">
      <c r="A47" s="2" t="s">
        <v>88</v>
      </c>
      <c r="B47" s="1">
        <f t="shared" si="2"/>
        <v>2.5786392099680722</v>
      </c>
      <c r="C47" s="1">
        <f t="shared" ref="C47:BN50" si="9">LOG(C16+1)</f>
        <v>2.3783979009481375</v>
      </c>
      <c r="D47" s="1">
        <f t="shared" si="9"/>
        <v>2.4785664955938436</v>
      </c>
      <c r="E47" s="1">
        <f t="shared" si="9"/>
        <v>1.8129133566428555</v>
      </c>
      <c r="F47" s="1">
        <f t="shared" si="9"/>
        <v>2.3031960574204891</v>
      </c>
      <c r="G47" s="1">
        <f t="shared" si="9"/>
        <v>1.7075701760979363</v>
      </c>
      <c r="H47" s="1">
        <f t="shared" si="9"/>
        <v>2.0293837776852097</v>
      </c>
      <c r="I47" s="1">
        <f t="shared" si="9"/>
        <v>2.1105897102992488</v>
      </c>
      <c r="J47" s="1">
        <f t="shared" si="9"/>
        <v>1.3979400086720377</v>
      </c>
      <c r="K47" s="1">
        <f t="shared" si="9"/>
        <v>1.1139433523068367</v>
      </c>
      <c r="L47" s="1">
        <f t="shared" si="9"/>
        <v>2.406540180433955</v>
      </c>
      <c r="M47" s="1">
        <f t="shared" si="9"/>
        <v>2.436162647040756</v>
      </c>
      <c r="N47" s="1">
        <f t="shared" si="9"/>
        <v>2.8709888137605755</v>
      </c>
      <c r="O47" s="1">
        <f t="shared" si="9"/>
        <v>2.1903316981702914</v>
      </c>
      <c r="P47" s="1">
        <f t="shared" si="9"/>
        <v>2.4727564493172123</v>
      </c>
      <c r="Q47" s="1">
        <f t="shared" si="9"/>
        <v>1.7853298350107671</v>
      </c>
      <c r="R47" s="1">
        <f t="shared" si="9"/>
        <v>2.6464037262230695</v>
      </c>
      <c r="S47" s="1">
        <f t="shared" si="9"/>
        <v>2.2764618041732443</v>
      </c>
      <c r="T47" s="1">
        <f t="shared" si="9"/>
        <v>2.6893088591236203</v>
      </c>
      <c r="U47" s="1">
        <f t="shared" si="9"/>
        <v>1.7993405494535817</v>
      </c>
      <c r="V47" s="1">
        <f t="shared" si="9"/>
        <v>2.2576785748691846</v>
      </c>
      <c r="W47" s="1">
        <f t="shared" si="9"/>
        <v>2.307496037913213</v>
      </c>
      <c r="X47" s="1">
        <f t="shared" si="9"/>
        <v>2.3961993470957363</v>
      </c>
      <c r="Y47" s="1">
        <f t="shared" si="9"/>
        <v>1.6334684555795864</v>
      </c>
      <c r="Z47" s="1">
        <f t="shared" si="9"/>
        <v>1.5185139398778875</v>
      </c>
      <c r="AA47" s="1">
        <f t="shared" si="9"/>
        <v>0</v>
      </c>
      <c r="AB47" s="1">
        <f t="shared" si="9"/>
        <v>2.8175653695597807</v>
      </c>
      <c r="AC47" s="1">
        <f t="shared" si="9"/>
        <v>2.7686381012476144</v>
      </c>
      <c r="AD47" s="1">
        <f t="shared" si="9"/>
        <v>1.2304489213782739</v>
      </c>
      <c r="AE47" s="1">
        <f t="shared" si="9"/>
        <v>1.7993405494535817</v>
      </c>
      <c r="AF47" s="1">
        <f t="shared" si="9"/>
        <v>2.0453229787866576</v>
      </c>
      <c r="AG47" s="1">
        <f t="shared" si="9"/>
        <v>2.2576785748691846</v>
      </c>
      <c r="AH47" s="1">
        <f t="shared" si="9"/>
        <v>2.1553360374650619</v>
      </c>
      <c r="AI47" s="1">
        <f t="shared" si="9"/>
        <v>2.5740312677277188</v>
      </c>
      <c r="AJ47" s="1">
        <f t="shared" si="9"/>
        <v>1.7708520116421442</v>
      </c>
      <c r="AK47" s="1">
        <f t="shared" si="9"/>
        <v>1.5185139398778875</v>
      </c>
      <c r="AL47" s="1">
        <f t="shared" si="9"/>
        <v>1.8388490907372552</v>
      </c>
      <c r="AM47" s="1">
        <f t="shared" si="9"/>
        <v>1.3222192947339193</v>
      </c>
      <c r="AN47" s="1">
        <f t="shared" si="9"/>
        <v>1.1139433523068367</v>
      </c>
      <c r="AO47" s="1">
        <f t="shared" si="9"/>
        <v>1.8976270912904414</v>
      </c>
      <c r="AP47" s="1">
        <f t="shared" si="9"/>
        <v>1.2787536009528289</v>
      </c>
      <c r="AQ47" s="1">
        <f t="shared" si="9"/>
        <v>0</v>
      </c>
      <c r="AR47" s="1">
        <f t="shared" si="9"/>
        <v>2.2430380486862944</v>
      </c>
      <c r="AS47" s="1">
        <f t="shared" si="9"/>
        <v>0.47712125471966244</v>
      </c>
      <c r="AT47" s="1">
        <f t="shared" si="9"/>
        <v>1.5440680443502757</v>
      </c>
      <c r="AU47" s="1">
        <f t="shared" si="9"/>
        <v>2.6159500516564012</v>
      </c>
      <c r="AV47" s="1">
        <f t="shared" si="9"/>
        <v>1.4313637641589874</v>
      </c>
      <c r="AW47" s="1">
        <f t="shared" si="9"/>
        <v>1.7853298350107671</v>
      </c>
      <c r="AX47" s="1">
        <f t="shared" si="9"/>
        <v>1.8260748027008264</v>
      </c>
      <c r="AY47" s="1">
        <f t="shared" si="9"/>
        <v>0.69897000433601886</v>
      </c>
      <c r="AZ47" s="1">
        <f t="shared" si="9"/>
        <v>2.1105897102992488</v>
      </c>
      <c r="BA47" s="1">
        <f t="shared" si="9"/>
        <v>1.2304489213782739</v>
      </c>
      <c r="BB47" s="1">
        <f t="shared" si="9"/>
        <v>1.7403626894942439</v>
      </c>
      <c r="BC47" s="1">
        <f t="shared" si="9"/>
        <v>2.5403294747908736</v>
      </c>
      <c r="BD47" s="1">
        <f t="shared" si="9"/>
        <v>2.6599162000698504</v>
      </c>
      <c r="BE47" s="1">
        <f t="shared" si="9"/>
        <v>2.6424645202421213</v>
      </c>
      <c r="BF47" s="1">
        <f t="shared" si="9"/>
        <v>2.1105897102992488</v>
      </c>
      <c r="BG47" s="1">
        <f t="shared" si="9"/>
        <v>2.3324384599156054</v>
      </c>
      <c r="BH47" s="1">
        <f t="shared" si="9"/>
        <v>2.2068258760318495</v>
      </c>
      <c r="BI47" s="1">
        <f t="shared" si="9"/>
        <v>1.7403626894942439</v>
      </c>
      <c r="BJ47" s="1">
        <f t="shared" si="9"/>
        <v>0</v>
      </c>
      <c r="BK47" s="1">
        <f t="shared" si="9"/>
        <v>1.6720978579357175</v>
      </c>
      <c r="BL47" s="1">
        <f t="shared" si="9"/>
        <v>1.9493900066449128</v>
      </c>
      <c r="BM47" s="1">
        <f t="shared" si="9"/>
        <v>2.3521825181113627</v>
      </c>
      <c r="BN47" s="1">
        <f t="shared" si="9"/>
        <v>2.167317334748176</v>
      </c>
      <c r="BO47" s="1">
        <f t="shared" si="8"/>
        <v>2.1903316981702914</v>
      </c>
      <c r="BP47" s="1">
        <f t="shared" si="8"/>
        <v>2.3673559210260189</v>
      </c>
      <c r="BQ47" s="1">
        <f t="shared" si="8"/>
        <v>2.143014800254095</v>
      </c>
      <c r="BR47" s="1">
        <f t="shared" si="8"/>
        <v>2.6928469192772302</v>
      </c>
      <c r="BS47" s="1">
        <f t="shared" si="8"/>
        <v>1.6127838567197355</v>
      </c>
      <c r="BT47" s="1">
        <f t="shared" si="8"/>
        <v>2.3891660843645326</v>
      </c>
    </row>
    <row r="48" spans="1:72" x14ac:dyDescent="0.25">
      <c r="A48" s="2" t="s">
        <v>89</v>
      </c>
      <c r="B48" s="1">
        <f t="shared" si="2"/>
        <v>2.5854607295085006</v>
      </c>
      <c r="C48" s="1">
        <f t="shared" si="9"/>
        <v>2.4393326938302629</v>
      </c>
      <c r="D48" s="1">
        <f t="shared" si="9"/>
        <v>2.6857417386022635</v>
      </c>
      <c r="E48" s="1">
        <f t="shared" si="9"/>
        <v>2.3521825181113627</v>
      </c>
      <c r="F48" s="1">
        <f t="shared" si="9"/>
        <v>2.374748346010104</v>
      </c>
      <c r="G48" s="1">
        <f t="shared" si="9"/>
        <v>2.1553360374650619</v>
      </c>
      <c r="H48" s="1">
        <f t="shared" si="9"/>
        <v>1.8750612633917001</v>
      </c>
      <c r="I48" s="1">
        <f t="shared" si="9"/>
        <v>2.173186268412274</v>
      </c>
      <c r="J48" s="1">
        <f t="shared" si="9"/>
        <v>2.3159703454569178</v>
      </c>
      <c r="K48" s="1">
        <f t="shared" si="9"/>
        <v>1.5440680443502757</v>
      </c>
      <c r="L48" s="1">
        <f t="shared" si="9"/>
        <v>2.7958800173440754</v>
      </c>
      <c r="M48" s="1">
        <f t="shared" si="9"/>
        <v>2.7505083948513462</v>
      </c>
      <c r="N48" s="1">
        <f t="shared" si="9"/>
        <v>3.1769589805869081</v>
      </c>
      <c r="O48" s="1">
        <f t="shared" si="9"/>
        <v>2.1613680022349748</v>
      </c>
      <c r="P48" s="1">
        <f t="shared" si="9"/>
        <v>2.6222140229662951</v>
      </c>
      <c r="Q48" s="1">
        <f t="shared" si="9"/>
        <v>2.1303337684950061</v>
      </c>
      <c r="R48" s="1">
        <f t="shared" si="9"/>
        <v>2.5899496013257077</v>
      </c>
      <c r="S48" s="1">
        <f t="shared" si="9"/>
        <v>2.4842998393467859</v>
      </c>
      <c r="T48" s="1">
        <f t="shared" si="9"/>
        <v>2.9726655922661109</v>
      </c>
      <c r="U48" s="1">
        <f t="shared" si="9"/>
        <v>2.012837224705172</v>
      </c>
      <c r="V48" s="1">
        <f t="shared" si="9"/>
        <v>2.1105897102992488</v>
      </c>
      <c r="W48" s="1">
        <f t="shared" si="9"/>
        <v>2.0530784434834195</v>
      </c>
      <c r="X48" s="1">
        <f t="shared" si="9"/>
        <v>2.7032913781186614</v>
      </c>
      <c r="Y48" s="1">
        <f t="shared" si="9"/>
        <v>2.1172712956557644</v>
      </c>
      <c r="Z48" s="1">
        <f t="shared" si="9"/>
        <v>1.8750612633917001</v>
      </c>
      <c r="AA48" s="1">
        <f t="shared" si="9"/>
        <v>1.3617278360175928</v>
      </c>
      <c r="AB48" s="1">
        <f t="shared" si="9"/>
        <v>3.0297894708318558</v>
      </c>
      <c r="AC48" s="1">
        <f t="shared" si="9"/>
        <v>3.0464951643347082</v>
      </c>
      <c r="AD48" s="1">
        <f t="shared" si="9"/>
        <v>1.9493900066449128</v>
      </c>
      <c r="AE48" s="1">
        <f t="shared" si="9"/>
        <v>1.7242758696007889</v>
      </c>
      <c r="AF48" s="1">
        <f t="shared" si="9"/>
        <v>2.0453229787866576</v>
      </c>
      <c r="AG48" s="1">
        <f t="shared" si="9"/>
        <v>2.8135809885681922</v>
      </c>
      <c r="AH48" s="1">
        <f t="shared" si="9"/>
        <v>2.7745169657285498</v>
      </c>
      <c r="AI48" s="1">
        <f t="shared" si="9"/>
        <v>2.8813846567705728</v>
      </c>
      <c r="AJ48" s="1">
        <f t="shared" si="9"/>
        <v>2.0827853703164503</v>
      </c>
      <c r="AK48" s="1">
        <f t="shared" si="9"/>
        <v>1.7708520116421442</v>
      </c>
      <c r="AL48" s="1">
        <f t="shared" si="9"/>
        <v>0.69897000433601886</v>
      </c>
      <c r="AM48" s="1">
        <f t="shared" si="9"/>
        <v>1.0413926851582251</v>
      </c>
      <c r="AN48" s="1">
        <f t="shared" si="9"/>
        <v>1.7558748556724915</v>
      </c>
      <c r="AO48" s="1">
        <f t="shared" si="9"/>
        <v>0.84509804001425681</v>
      </c>
      <c r="AP48" s="1">
        <f t="shared" si="9"/>
        <v>1.6127838567197355</v>
      </c>
      <c r="AQ48" s="1">
        <f t="shared" si="9"/>
        <v>1.8512583487190752</v>
      </c>
      <c r="AR48" s="1">
        <f t="shared" si="9"/>
        <v>2.6384892569546374</v>
      </c>
      <c r="AS48" s="1">
        <f t="shared" si="9"/>
        <v>2.1038037209559568</v>
      </c>
      <c r="AT48" s="1">
        <f t="shared" si="9"/>
        <v>1.8864907251724818</v>
      </c>
      <c r="AU48" s="1">
        <f t="shared" si="9"/>
        <v>2.859138297294531</v>
      </c>
      <c r="AV48" s="1">
        <f t="shared" si="9"/>
        <v>1.4913616938342726</v>
      </c>
      <c r="AW48" s="1">
        <f t="shared" si="9"/>
        <v>2.0969100130080562</v>
      </c>
      <c r="AX48" s="1">
        <f t="shared" si="9"/>
        <v>2.1038037209559568</v>
      </c>
      <c r="AY48" s="1">
        <f t="shared" si="9"/>
        <v>1.3222192947339193</v>
      </c>
      <c r="AZ48" s="1">
        <f t="shared" si="9"/>
        <v>1.9084850188786497</v>
      </c>
      <c r="BA48" s="1">
        <f t="shared" si="9"/>
        <v>1.7853298350107671</v>
      </c>
      <c r="BB48" s="1">
        <f t="shared" si="9"/>
        <v>2.5987905067631152</v>
      </c>
      <c r="BC48" s="1">
        <f t="shared" si="9"/>
        <v>3.0557604646877348</v>
      </c>
      <c r="BD48" s="1">
        <f t="shared" si="9"/>
        <v>2.9698816437465001</v>
      </c>
      <c r="BE48" s="1">
        <f t="shared" si="9"/>
        <v>2.9400181550076634</v>
      </c>
      <c r="BF48" s="1">
        <f t="shared" si="9"/>
        <v>2.3242824552976926</v>
      </c>
      <c r="BG48" s="1">
        <f t="shared" si="9"/>
        <v>2.406540180433955</v>
      </c>
      <c r="BH48" s="1">
        <f t="shared" si="9"/>
        <v>1.6720978579357175</v>
      </c>
      <c r="BI48" s="1">
        <f t="shared" si="9"/>
        <v>2.1903316981702914</v>
      </c>
      <c r="BJ48" s="1">
        <f t="shared" si="9"/>
        <v>0</v>
      </c>
      <c r="BK48" s="1">
        <f t="shared" si="9"/>
        <v>1.7708520116421442</v>
      </c>
      <c r="BL48" s="1">
        <f t="shared" si="9"/>
        <v>1.9777236052888478</v>
      </c>
      <c r="BM48" s="1">
        <f t="shared" si="9"/>
        <v>2.307496037913213</v>
      </c>
      <c r="BN48" s="1">
        <f t="shared" si="9"/>
        <v>2.3820170425748683</v>
      </c>
      <c r="BO48" s="1">
        <f t="shared" si="8"/>
        <v>2.1105897102992488</v>
      </c>
      <c r="BP48" s="1">
        <f t="shared" si="8"/>
        <v>2.4955443375464483</v>
      </c>
      <c r="BQ48" s="1">
        <f t="shared" si="8"/>
        <v>2.0374264979406238</v>
      </c>
      <c r="BR48" s="1">
        <f t="shared" si="8"/>
        <v>2.9469432706978256</v>
      </c>
      <c r="BS48" s="1">
        <f t="shared" si="8"/>
        <v>2.3404441148401185</v>
      </c>
      <c r="BT48" s="1">
        <f t="shared" si="8"/>
        <v>1.7075701760979363</v>
      </c>
    </row>
    <row r="49" spans="1:72" x14ac:dyDescent="0.25">
      <c r="A49" s="2" t="s">
        <v>90</v>
      </c>
      <c r="B49" s="1">
        <f t="shared" si="2"/>
        <v>3.1176026916900841</v>
      </c>
      <c r="C49" s="1">
        <f t="shared" si="9"/>
        <v>2.9907826918031377</v>
      </c>
      <c r="D49" s="1">
        <f t="shared" si="9"/>
        <v>3.180412632838324</v>
      </c>
      <c r="E49" s="1">
        <f t="shared" si="9"/>
        <v>2.7015679850559273</v>
      </c>
      <c r="F49" s="1">
        <f t="shared" si="9"/>
        <v>2.8847953639489812</v>
      </c>
      <c r="G49" s="1">
        <f t="shared" si="9"/>
        <v>2.7505083948513462</v>
      </c>
      <c r="H49" s="1">
        <f t="shared" si="9"/>
        <v>2.7315887651867388</v>
      </c>
      <c r="I49" s="1">
        <f t="shared" si="9"/>
        <v>2.6748611407378116</v>
      </c>
      <c r="J49" s="1">
        <f t="shared" si="9"/>
        <v>2.7363965022766426</v>
      </c>
      <c r="K49" s="1">
        <f t="shared" si="9"/>
        <v>1.9956351945975499</v>
      </c>
      <c r="L49" s="1">
        <f t="shared" si="9"/>
        <v>3.1866738674997452</v>
      </c>
      <c r="M49" s="1">
        <f t="shared" si="9"/>
        <v>3.2447717614952949</v>
      </c>
      <c r="N49" s="1">
        <f t="shared" si="9"/>
        <v>3.4937368022768398</v>
      </c>
      <c r="O49" s="1">
        <f t="shared" si="9"/>
        <v>2.419955748489758</v>
      </c>
      <c r="P49" s="1">
        <f t="shared" si="9"/>
        <v>3.1034616220947049</v>
      </c>
      <c r="Q49" s="1">
        <f t="shared" si="9"/>
        <v>2.5352941200427703</v>
      </c>
      <c r="R49" s="1">
        <f t="shared" si="9"/>
        <v>3.2902572693945182</v>
      </c>
      <c r="S49" s="1">
        <f t="shared" si="9"/>
        <v>2.6009728956867484</v>
      </c>
      <c r="T49" s="1">
        <f t="shared" si="9"/>
        <v>3.3829171350875309</v>
      </c>
      <c r="U49" s="1">
        <f t="shared" si="9"/>
        <v>2.406540180433955</v>
      </c>
      <c r="V49" s="1">
        <f t="shared" si="9"/>
        <v>2.5352941200427703</v>
      </c>
      <c r="W49" s="1">
        <f t="shared" si="9"/>
        <v>2.9670797341444972</v>
      </c>
      <c r="X49" s="1">
        <f t="shared" si="9"/>
        <v>3.3211840273023143</v>
      </c>
      <c r="Y49" s="1">
        <f t="shared" si="9"/>
        <v>2.7671558660821804</v>
      </c>
      <c r="Z49" s="1">
        <f t="shared" si="9"/>
        <v>2.6201360549737576</v>
      </c>
      <c r="AA49" s="1">
        <f t="shared" si="9"/>
        <v>2.2430380486862944</v>
      </c>
      <c r="AB49" s="1">
        <f t="shared" si="9"/>
        <v>3.5006480633719121</v>
      </c>
      <c r="AC49" s="1">
        <f t="shared" si="9"/>
        <v>3.4956830676169153</v>
      </c>
      <c r="AD49" s="1">
        <f t="shared" si="9"/>
        <v>2.1038037209559568</v>
      </c>
      <c r="AE49" s="1">
        <f t="shared" si="9"/>
        <v>2.1846914308175989</v>
      </c>
      <c r="AF49" s="1">
        <f t="shared" si="9"/>
        <v>2.419955748489758</v>
      </c>
      <c r="AG49" s="1">
        <f t="shared" si="9"/>
        <v>3.0916669575956846</v>
      </c>
      <c r="AH49" s="1">
        <f t="shared" si="9"/>
        <v>2.9763499790032735</v>
      </c>
      <c r="AI49" s="1">
        <f t="shared" si="9"/>
        <v>3.2347702951609163</v>
      </c>
      <c r="AJ49" s="1">
        <f t="shared" si="9"/>
        <v>2.4517864355242902</v>
      </c>
      <c r="AK49" s="1">
        <f t="shared" si="9"/>
        <v>2.6283889300503116</v>
      </c>
      <c r="AL49" s="1">
        <f t="shared" si="9"/>
        <v>1.4313637641589874</v>
      </c>
      <c r="AM49" s="1">
        <f t="shared" si="9"/>
        <v>2.4297522800024081</v>
      </c>
      <c r="AN49" s="1">
        <f t="shared" si="9"/>
        <v>2.1789769472931693</v>
      </c>
      <c r="AO49" s="1">
        <f t="shared" si="9"/>
        <v>1.9956351945975499</v>
      </c>
      <c r="AP49" s="1">
        <f t="shared" si="9"/>
        <v>1.8864907251724818</v>
      </c>
      <c r="AQ49" s="1">
        <f t="shared" si="9"/>
        <v>1.8864907251724818</v>
      </c>
      <c r="AR49" s="1">
        <f t="shared" si="9"/>
        <v>2.8836614351536176</v>
      </c>
      <c r="AS49" s="1">
        <f t="shared" si="9"/>
        <v>2.5987905067631152</v>
      </c>
      <c r="AT49" s="1">
        <f t="shared" si="9"/>
        <v>2.5943925503754266</v>
      </c>
      <c r="AU49" s="1">
        <f t="shared" si="9"/>
        <v>3.3140779917792127</v>
      </c>
      <c r="AV49" s="1">
        <f t="shared" si="9"/>
        <v>2.307496037913213</v>
      </c>
      <c r="AW49" s="1">
        <f t="shared" si="9"/>
        <v>2.6711728427150834</v>
      </c>
      <c r="AX49" s="1">
        <f t="shared" si="9"/>
        <v>2.6117233080073419</v>
      </c>
      <c r="AY49" s="1">
        <f t="shared" si="9"/>
        <v>1.7993405494535817</v>
      </c>
      <c r="AZ49" s="1">
        <f t="shared" si="9"/>
        <v>2.3324384599156054</v>
      </c>
      <c r="BA49" s="1">
        <f t="shared" si="9"/>
        <v>1.9777236052888478</v>
      </c>
      <c r="BB49" s="1">
        <f t="shared" si="9"/>
        <v>2.8506462351830666</v>
      </c>
      <c r="BC49" s="1">
        <f t="shared" si="9"/>
        <v>3.3925210899319325</v>
      </c>
      <c r="BD49" s="1">
        <f t="shared" si="9"/>
        <v>3.3306166672944384</v>
      </c>
      <c r="BE49" s="1">
        <f t="shared" si="9"/>
        <v>3.3821972103774538</v>
      </c>
      <c r="BF49" s="1">
        <f t="shared" si="9"/>
        <v>2.5250448070368452</v>
      </c>
      <c r="BG49" s="1">
        <f t="shared" si="9"/>
        <v>3.0788191830988487</v>
      </c>
      <c r="BH49" s="1">
        <f t="shared" si="9"/>
        <v>2.503790683057181</v>
      </c>
      <c r="BI49" s="1">
        <f t="shared" si="9"/>
        <v>2.6242820958356683</v>
      </c>
      <c r="BJ49" s="1">
        <f t="shared" si="9"/>
        <v>0</v>
      </c>
      <c r="BK49" s="1">
        <f t="shared" si="9"/>
        <v>2.3673559210260189</v>
      </c>
      <c r="BL49" s="1">
        <f t="shared" si="9"/>
        <v>2.5352941200427703</v>
      </c>
      <c r="BM49" s="1">
        <f t="shared" si="9"/>
        <v>2.9175055095525466</v>
      </c>
      <c r="BN49" s="1">
        <f t="shared" si="9"/>
        <v>2.8615344108590377</v>
      </c>
      <c r="BO49" s="1">
        <f t="shared" si="8"/>
        <v>2.8432327780980096</v>
      </c>
      <c r="BP49" s="1">
        <f t="shared" si="8"/>
        <v>2.9429995933660407</v>
      </c>
      <c r="BQ49" s="1">
        <f t="shared" si="8"/>
        <v>2.4099331233312946</v>
      </c>
      <c r="BR49" s="1">
        <f t="shared" si="8"/>
        <v>3.3716219271760215</v>
      </c>
      <c r="BS49" s="1">
        <f t="shared" si="8"/>
        <v>2.7902851640332416</v>
      </c>
      <c r="BT49" s="1">
        <f t="shared" si="8"/>
        <v>2.4814426285023048</v>
      </c>
    </row>
    <row r="50" spans="1:72" x14ac:dyDescent="0.25">
      <c r="A50" s="2" t="s">
        <v>91</v>
      </c>
      <c r="B50" s="1">
        <f t="shared" si="2"/>
        <v>2.5526682161121932</v>
      </c>
      <c r="C50" s="1">
        <f t="shared" si="9"/>
        <v>2.537819095073274</v>
      </c>
      <c r="D50" s="1">
        <f t="shared" si="9"/>
        <v>2.5327543789924976</v>
      </c>
      <c r="E50" s="1">
        <f t="shared" si="9"/>
        <v>2.3404441148401185</v>
      </c>
      <c r="F50" s="1">
        <f t="shared" si="9"/>
        <v>2.1553360374650619</v>
      </c>
      <c r="G50" s="1">
        <f t="shared" si="9"/>
        <v>2.2227164711475833</v>
      </c>
      <c r="H50" s="1">
        <f t="shared" si="9"/>
        <v>2.271841606536499</v>
      </c>
      <c r="I50" s="1">
        <f t="shared" si="9"/>
        <v>1.8633228601204559</v>
      </c>
      <c r="J50" s="1">
        <f t="shared" si="9"/>
        <v>2.0827853703164503</v>
      </c>
      <c r="K50" s="1">
        <f t="shared" si="9"/>
        <v>1.0413926851582251</v>
      </c>
      <c r="L50" s="1">
        <f t="shared" si="9"/>
        <v>2.6159500516564012</v>
      </c>
      <c r="M50" s="1">
        <f t="shared" si="9"/>
        <v>2.6464037262230695</v>
      </c>
      <c r="N50" s="1">
        <f t="shared" si="9"/>
        <v>2.8709888137605755</v>
      </c>
      <c r="O50" s="1">
        <f t="shared" si="9"/>
        <v>2.2013971243204513</v>
      </c>
      <c r="P50" s="1">
        <f t="shared" si="9"/>
        <v>2.4955443375464483</v>
      </c>
      <c r="Q50" s="1">
        <f t="shared" si="9"/>
        <v>2.0755469613925306</v>
      </c>
      <c r="R50" s="1">
        <f t="shared" si="9"/>
        <v>2.5622928644564746</v>
      </c>
      <c r="S50" s="1">
        <f t="shared" si="9"/>
        <v>2.143014800254095</v>
      </c>
      <c r="T50" s="1">
        <f t="shared" si="9"/>
        <v>2.7701152947871015</v>
      </c>
      <c r="U50" s="1">
        <f t="shared" si="9"/>
        <v>2.167317334748176</v>
      </c>
      <c r="V50" s="1">
        <f t="shared" si="9"/>
        <v>1.968482948553935</v>
      </c>
      <c r="W50" s="1">
        <f t="shared" si="9"/>
        <v>2.3159703454569178</v>
      </c>
      <c r="X50" s="1">
        <f t="shared" si="9"/>
        <v>2.661812685537261</v>
      </c>
      <c r="Y50" s="1">
        <f t="shared" si="9"/>
        <v>2.012837224705172</v>
      </c>
      <c r="Z50" s="1">
        <f t="shared" si="9"/>
        <v>2.2121876044039577</v>
      </c>
      <c r="AA50" s="1">
        <f t="shared" si="9"/>
        <v>1.9294189257142926</v>
      </c>
      <c r="AB50" s="1">
        <f t="shared" si="9"/>
        <v>2.8175653695597807</v>
      </c>
      <c r="AC50" s="1">
        <f t="shared" si="9"/>
        <v>2.8802417758954801</v>
      </c>
      <c r="AD50" s="1">
        <f t="shared" si="9"/>
        <v>1.9294189257142926</v>
      </c>
      <c r="AE50" s="1">
        <f t="shared" si="9"/>
        <v>0</v>
      </c>
      <c r="AF50" s="1">
        <f t="shared" si="9"/>
        <v>2.1789769472931693</v>
      </c>
      <c r="AG50" s="1">
        <f t="shared" si="9"/>
        <v>2.4424797690644486</v>
      </c>
      <c r="AH50" s="1">
        <f t="shared" si="9"/>
        <v>2.4756711883244296</v>
      </c>
      <c r="AI50" s="1">
        <f t="shared" si="9"/>
        <v>2.7067177823367587</v>
      </c>
      <c r="AJ50" s="1">
        <f t="shared" si="9"/>
        <v>1.8976270912904414</v>
      </c>
      <c r="AK50" s="1">
        <f t="shared" si="9"/>
        <v>0.47712125471966244</v>
      </c>
      <c r="AL50" s="1">
        <f t="shared" si="9"/>
        <v>1.1139433523068367</v>
      </c>
      <c r="AM50" s="1">
        <f t="shared" si="9"/>
        <v>1.9777236052888478</v>
      </c>
      <c r="AN50" s="1">
        <f t="shared" si="9"/>
        <v>1.7993405494535817</v>
      </c>
      <c r="AO50" s="1">
        <f t="shared" si="9"/>
        <v>1.919078092376074</v>
      </c>
      <c r="AP50" s="1">
        <f t="shared" si="9"/>
        <v>1.5185139398778875</v>
      </c>
      <c r="AQ50" s="1">
        <f t="shared" si="9"/>
        <v>1.2787536009528289</v>
      </c>
      <c r="AR50" s="1">
        <f t="shared" si="9"/>
        <v>2.3783979009481375</v>
      </c>
      <c r="AS50" s="1">
        <f t="shared" si="9"/>
        <v>1.4623979978989561</v>
      </c>
      <c r="AT50" s="1">
        <f t="shared" si="9"/>
        <v>1.4313637641589874</v>
      </c>
      <c r="AU50" s="1">
        <f t="shared" si="9"/>
        <v>2.6998377258672459</v>
      </c>
      <c r="AV50" s="1">
        <f t="shared" si="9"/>
        <v>1.7242758696007889</v>
      </c>
      <c r="AW50" s="1">
        <f t="shared" si="9"/>
        <v>2.0606978403536118</v>
      </c>
      <c r="AX50" s="1">
        <f t="shared" si="9"/>
        <v>1.8750612633917001</v>
      </c>
      <c r="AY50" s="1">
        <f t="shared" si="9"/>
        <v>0</v>
      </c>
      <c r="AZ50" s="1">
        <f t="shared" si="9"/>
        <v>1.3979400086720377</v>
      </c>
      <c r="BA50" s="1">
        <f t="shared" si="9"/>
        <v>1.1139433523068367</v>
      </c>
      <c r="BB50" s="1">
        <f t="shared" si="9"/>
        <v>2.2988530764097068</v>
      </c>
      <c r="BC50" s="1">
        <f t="shared" si="9"/>
        <v>2.8756399370041685</v>
      </c>
      <c r="BD50" s="1">
        <f t="shared" si="9"/>
        <v>2.8068580295188172</v>
      </c>
      <c r="BE50" s="1">
        <f t="shared" si="9"/>
        <v>2.8926510338773004</v>
      </c>
      <c r="BF50" s="1">
        <f t="shared" si="9"/>
        <v>1.7403626894942439</v>
      </c>
      <c r="BG50" s="1">
        <f t="shared" si="9"/>
        <v>2.3636119798921444</v>
      </c>
      <c r="BH50" s="1">
        <f t="shared" si="9"/>
        <v>1.9777236052888478</v>
      </c>
      <c r="BI50" s="1">
        <f t="shared" si="9"/>
        <v>2.0293837776852097</v>
      </c>
      <c r="BJ50" s="1">
        <f t="shared" si="9"/>
        <v>0</v>
      </c>
      <c r="BK50" s="1">
        <f t="shared" si="9"/>
        <v>1.0413926851582251</v>
      </c>
      <c r="BL50" s="1">
        <f t="shared" si="9"/>
        <v>1.9777236052888478</v>
      </c>
      <c r="BM50" s="1">
        <f t="shared" si="9"/>
        <v>2.0211892990699383</v>
      </c>
      <c r="BN50" s="1">
        <f t="shared" ref="BN50:BT53" si="10">LOG(BN19+1)</f>
        <v>1.8633228601204559</v>
      </c>
      <c r="BO50" s="1">
        <f t="shared" si="10"/>
        <v>2.2479732663618068</v>
      </c>
      <c r="BP50" s="1">
        <f t="shared" si="10"/>
        <v>2.3598354823398879</v>
      </c>
      <c r="BQ50" s="1">
        <f t="shared" si="10"/>
        <v>2.173186268412274</v>
      </c>
      <c r="BR50" s="1">
        <f t="shared" si="10"/>
        <v>2.8175653695597807</v>
      </c>
      <c r="BS50" s="1">
        <f t="shared" si="10"/>
        <v>2.2013971243204513</v>
      </c>
      <c r="BT50" s="1">
        <f t="shared" si="10"/>
        <v>1.9395192526186185</v>
      </c>
    </row>
    <row r="51" spans="1:72" x14ac:dyDescent="0.25">
      <c r="A51" s="2" t="s">
        <v>92</v>
      </c>
      <c r="B51" s="1">
        <f t="shared" si="2"/>
        <v>3.532627001228891</v>
      </c>
      <c r="C51" s="1">
        <f t="shared" ref="C51:BN54" si="11">LOG(C20+1)</f>
        <v>2.2900346113625178</v>
      </c>
      <c r="D51" s="1">
        <f t="shared" si="11"/>
        <v>2.3201462861110542</v>
      </c>
      <c r="E51" s="1">
        <f t="shared" si="11"/>
        <v>1.5185139398778875</v>
      </c>
      <c r="F51" s="1">
        <f t="shared" si="11"/>
        <v>2.2479732663618068</v>
      </c>
      <c r="G51" s="1">
        <f t="shared" si="11"/>
        <v>1.3979400086720377</v>
      </c>
      <c r="H51" s="1">
        <f t="shared" si="11"/>
        <v>1.7403626894942439</v>
      </c>
      <c r="I51" s="1">
        <f t="shared" si="11"/>
        <v>1.919078092376074</v>
      </c>
      <c r="J51" s="1">
        <f t="shared" si="11"/>
        <v>2.4166405073382808</v>
      </c>
      <c r="K51" s="1">
        <f t="shared" si="11"/>
        <v>1.5440680443502757</v>
      </c>
      <c r="L51" s="1">
        <f t="shared" si="11"/>
        <v>2.0969100130080562</v>
      </c>
      <c r="M51" s="1">
        <f t="shared" si="11"/>
        <v>2.2121876044039577</v>
      </c>
      <c r="N51" s="1">
        <f t="shared" si="11"/>
        <v>2.5550944485783194</v>
      </c>
      <c r="O51" s="1">
        <f t="shared" si="11"/>
        <v>1.7403626894942439</v>
      </c>
      <c r="P51" s="1">
        <f t="shared" si="11"/>
        <v>2.2329961103921536</v>
      </c>
      <c r="Q51" s="1">
        <f t="shared" si="11"/>
        <v>1.5440680443502757</v>
      </c>
      <c r="R51" s="1">
        <f t="shared" si="11"/>
        <v>2.6242820958356683</v>
      </c>
      <c r="S51" s="1">
        <f t="shared" si="11"/>
        <v>1.7558748556724915</v>
      </c>
      <c r="T51" s="1">
        <f t="shared" si="11"/>
        <v>2.5622928644564746</v>
      </c>
      <c r="U51" s="1">
        <f t="shared" si="11"/>
        <v>1.4913616938342726</v>
      </c>
      <c r="V51" s="1">
        <f t="shared" si="11"/>
        <v>1.3222192947339193</v>
      </c>
      <c r="W51" s="1">
        <f t="shared" si="11"/>
        <v>2.0043213737826426</v>
      </c>
      <c r="X51" s="1">
        <f t="shared" si="11"/>
        <v>2.0043213737826426</v>
      </c>
      <c r="Y51" s="1">
        <f t="shared" si="11"/>
        <v>1.7993405494535817</v>
      </c>
      <c r="Z51" s="1">
        <f t="shared" si="11"/>
        <v>1.3617278360175928</v>
      </c>
      <c r="AA51" s="1">
        <f t="shared" si="11"/>
        <v>0</v>
      </c>
      <c r="AB51" s="1">
        <f t="shared" si="11"/>
        <v>2.4814426285023048</v>
      </c>
      <c r="AC51" s="1">
        <f t="shared" si="11"/>
        <v>2.5352941200427703</v>
      </c>
      <c r="AD51" s="1">
        <f t="shared" si="11"/>
        <v>1.3222192947339193</v>
      </c>
      <c r="AE51" s="1">
        <f t="shared" si="11"/>
        <v>1.568201724066995</v>
      </c>
      <c r="AF51" s="1">
        <f t="shared" si="11"/>
        <v>1.4313637641589874</v>
      </c>
      <c r="AG51" s="1">
        <f t="shared" si="11"/>
        <v>2.2988530764097068</v>
      </c>
      <c r="AH51" s="1">
        <f t="shared" si="11"/>
        <v>2.2576785748691846</v>
      </c>
      <c r="AI51" s="1">
        <f t="shared" si="11"/>
        <v>2.2855573090077739</v>
      </c>
      <c r="AJ51" s="1">
        <f t="shared" si="11"/>
        <v>1.6720978579357175</v>
      </c>
      <c r="AK51" s="1">
        <f t="shared" si="11"/>
        <v>1.3617278360175928</v>
      </c>
      <c r="AL51" s="1">
        <f t="shared" si="11"/>
        <v>0</v>
      </c>
      <c r="AM51" s="1">
        <f t="shared" si="11"/>
        <v>1.2787536009528289</v>
      </c>
      <c r="AN51" s="1">
        <f t="shared" si="11"/>
        <v>0</v>
      </c>
      <c r="AO51" s="1">
        <f t="shared" si="11"/>
        <v>1.4313637641589874</v>
      </c>
      <c r="AP51" s="1">
        <f t="shared" si="11"/>
        <v>1.5910646070264991</v>
      </c>
      <c r="AQ51" s="1">
        <f t="shared" si="11"/>
        <v>1.6127838567197355</v>
      </c>
      <c r="AR51" s="1">
        <f t="shared" si="11"/>
        <v>0.84509804001425681</v>
      </c>
      <c r="AS51" s="1">
        <f t="shared" si="11"/>
        <v>2.0293837776852097</v>
      </c>
      <c r="AT51" s="1">
        <f t="shared" si="11"/>
        <v>2.1172712956557644</v>
      </c>
      <c r="AU51" s="1">
        <f t="shared" si="11"/>
        <v>2.7846172926328752</v>
      </c>
      <c r="AV51" s="1">
        <f t="shared" si="11"/>
        <v>1.4623979978989561</v>
      </c>
      <c r="AW51" s="1">
        <f t="shared" si="11"/>
        <v>1.1760912590556813</v>
      </c>
      <c r="AX51" s="1">
        <f t="shared" si="11"/>
        <v>1.7075701760979363</v>
      </c>
      <c r="AY51" s="1">
        <f t="shared" si="11"/>
        <v>0</v>
      </c>
      <c r="AZ51" s="1">
        <f t="shared" si="11"/>
        <v>1.4913616938342726</v>
      </c>
      <c r="BA51" s="1">
        <f t="shared" si="11"/>
        <v>0</v>
      </c>
      <c r="BB51" s="1">
        <f t="shared" si="11"/>
        <v>1.2787536009528289</v>
      </c>
      <c r="BC51" s="1">
        <f t="shared" si="11"/>
        <v>2.5403294747908736</v>
      </c>
      <c r="BD51" s="1">
        <f t="shared" si="11"/>
        <v>2.3443922736851106</v>
      </c>
      <c r="BE51" s="1">
        <f t="shared" si="11"/>
        <v>2.5921767573958667</v>
      </c>
      <c r="BF51" s="1">
        <f t="shared" si="11"/>
        <v>1.8129133566428555</v>
      </c>
      <c r="BG51" s="1">
        <f t="shared" si="11"/>
        <v>1.7242758696007889</v>
      </c>
      <c r="BH51" s="1">
        <f t="shared" si="11"/>
        <v>1.9777236052888478</v>
      </c>
      <c r="BI51" s="1">
        <f t="shared" si="11"/>
        <v>1.7242758696007889</v>
      </c>
      <c r="BJ51" s="1">
        <f t="shared" si="11"/>
        <v>0</v>
      </c>
      <c r="BK51" s="1">
        <f t="shared" si="11"/>
        <v>1.3617278360175928</v>
      </c>
      <c r="BL51" s="1">
        <f t="shared" si="11"/>
        <v>1.2787536009528289</v>
      </c>
      <c r="BM51" s="1">
        <f t="shared" si="11"/>
        <v>1.7708520116421442</v>
      </c>
      <c r="BN51" s="1">
        <f t="shared" si="11"/>
        <v>2.1367205671564067</v>
      </c>
      <c r="BO51" s="1">
        <f t="shared" si="10"/>
        <v>1.919078092376074</v>
      </c>
      <c r="BP51" s="1">
        <f t="shared" si="10"/>
        <v>1.2787536009528289</v>
      </c>
      <c r="BQ51" s="1">
        <f t="shared" si="10"/>
        <v>1.9777236052888478</v>
      </c>
      <c r="BR51" s="1">
        <f t="shared" si="10"/>
        <v>2.406540180433955</v>
      </c>
      <c r="BS51" s="1">
        <f t="shared" si="10"/>
        <v>2.2576785748691846</v>
      </c>
      <c r="BT51" s="1">
        <f t="shared" si="10"/>
        <v>0.69897000433601886</v>
      </c>
    </row>
    <row r="52" spans="1:72" x14ac:dyDescent="0.25">
      <c r="A52" s="2" t="s">
        <v>93</v>
      </c>
      <c r="B52" s="1">
        <f t="shared" si="2"/>
        <v>2.7686381012476144</v>
      </c>
      <c r="C52" s="1">
        <f t="shared" si="11"/>
        <v>4.2137036536801791</v>
      </c>
      <c r="D52" s="1">
        <f t="shared" si="11"/>
        <v>3.7410727723733213</v>
      </c>
      <c r="E52" s="1">
        <f t="shared" si="11"/>
        <v>2.5352941200427703</v>
      </c>
      <c r="F52" s="1">
        <f t="shared" si="11"/>
        <v>3.4426365257822318</v>
      </c>
      <c r="G52" s="1">
        <f t="shared" si="11"/>
        <v>3.6470894287165549</v>
      </c>
      <c r="H52" s="1">
        <f t="shared" si="11"/>
        <v>1.7993405494535817</v>
      </c>
      <c r="I52" s="1">
        <f t="shared" si="11"/>
        <v>3.064083435963596</v>
      </c>
      <c r="J52" s="1">
        <f t="shared" si="11"/>
        <v>4.1470267152222311</v>
      </c>
      <c r="K52" s="1">
        <f t="shared" si="11"/>
        <v>1.9084850188786497</v>
      </c>
      <c r="L52" s="1">
        <f t="shared" si="11"/>
        <v>2.2810333672477277</v>
      </c>
      <c r="M52" s="1">
        <f t="shared" si="11"/>
        <v>3.5676144427308447</v>
      </c>
      <c r="N52" s="1">
        <f t="shared" si="11"/>
        <v>3.4184670209466006</v>
      </c>
      <c r="O52" s="1">
        <f t="shared" si="11"/>
        <v>3.3907585287387172</v>
      </c>
      <c r="P52" s="1">
        <f t="shared" si="11"/>
        <v>1.9294189257142926</v>
      </c>
      <c r="Q52" s="1">
        <f t="shared" si="11"/>
        <v>1.7708520116421442</v>
      </c>
      <c r="R52" s="1">
        <f t="shared" si="11"/>
        <v>2.8027737252919755</v>
      </c>
      <c r="S52" s="1">
        <f t="shared" si="11"/>
        <v>1.6334684555795864</v>
      </c>
      <c r="T52" s="1">
        <f t="shared" si="11"/>
        <v>2.8444771757456815</v>
      </c>
      <c r="U52" s="1">
        <f t="shared" si="11"/>
        <v>3.1451964061141817</v>
      </c>
      <c r="V52" s="1">
        <f t="shared" si="11"/>
        <v>3.3293978793610428</v>
      </c>
      <c r="W52" s="1">
        <f t="shared" si="11"/>
        <v>4.0048800072406348</v>
      </c>
      <c r="X52" s="1">
        <f t="shared" si="11"/>
        <v>2.7730546933642626</v>
      </c>
      <c r="Y52" s="1">
        <f t="shared" si="11"/>
        <v>2.7427251313046983</v>
      </c>
      <c r="Z52" s="1">
        <f t="shared" si="11"/>
        <v>2.2810333672477277</v>
      </c>
      <c r="AA52" s="1">
        <f t="shared" si="11"/>
        <v>0.84509804001425681</v>
      </c>
      <c r="AB52" s="1">
        <f t="shared" si="11"/>
        <v>3.4795753101749884</v>
      </c>
      <c r="AC52" s="1">
        <f t="shared" si="11"/>
        <v>3.4438885467773721</v>
      </c>
      <c r="AD52" s="1">
        <f t="shared" si="11"/>
        <v>2.1303337684950061</v>
      </c>
      <c r="AE52" s="1">
        <f t="shared" si="11"/>
        <v>3.425371166438941</v>
      </c>
      <c r="AF52" s="1">
        <f t="shared" si="11"/>
        <v>2.8407332346118066</v>
      </c>
      <c r="AG52" s="1">
        <f t="shared" si="11"/>
        <v>3.5238764756381311</v>
      </c>
      <c r="AH52" s="1">
        <f t="shared" si="11"/>
        <v>4.1801545594533485</v>
      </c>
      <c r="AI52" s="1">
        <f t="shared" si="11"/>
        <v>3.7118915498805789</v>
      </c>
      <c r="AJ52" s="1">
        <f t="shared" si="11"/>
        <v>2.406540180433955</v>
      </c>
      <c r="AK52" s="1">
        <f t="shared" si="11"/>
        <v>1.4313637641589874</v>
      </c>
      <c r="AL52" s="1">
        <f t="shared" si="11"/>
        <v>1.6127838567197355</v>
      </c>
      <c r="AM52" s="1">
        <f t="shared" si="11"/>
        <v>2.5854607295085006</v>
      </c>
      <c r="AN52" s="1">
        <f t="shared" si="11"/>
        <v>1.9294189257142926</v>
      </c>
      <c r="AO52" s="1">
        <f t="shared" si="11"/>
        <v>2.1105897102992488</v>
      </c>
      <c r="AP52" s="1">
        <f t="shared" si="11"/>
        <v>1.9084850188786497</v>
      </c>
      <c r="AQ52" s="1">
        <f t="shared" si="11"/>
        <v>3.5459253293558426</v>
      </c>
      <c r="AR52" s="1">
        <f t="shared" si="11"/>
        <v>3.1769589805869081</v>
      </c>
      <c r="AS52" s="1">
        <f t="shared" si="11"/>
        <v>3.1470576710283598</v>
      </c>
      <c r="AT52" s="1">
        <f t="shared" si="11"/>
        <v>3.4992745818922173</v>
      </c>
      <c r="AU52" s="1">
        <f t="shared" si="11"/>
        <v>3.8081434257614912</v>
      </c>
      <c r="AV52" s="1">
        <f t="shared" si="11"/>
        <v>2.3710678622717363</v>
      </c>
      <c r="AW52" s="1">
        <f t="shared" si="11"/>
        <v>3.4407517004791854</v>
      </c>
      <c r="AX52" s="1">
        <f t="shared" si="11"/>
        <v>3.0038911662369103</v>
      </c>
      <c r="AY52" s="1">
        <f t="shared" si="11"/>
        <v>2.8041394323353503</v>
      </c>
      <c r="AZ52" s="1">
        <f t="shared" si="11"/>
        <v>1.3979400086720377</v>
      </c>
      <c r="BA52" s="1">
        <f t="shared" si="11"/>
        <v>2.5786392099680722</v>
      </c>
      <c r="BB52" s="1">
        <f t="shared" si="11"/>
        <v>2.6893088591236203</v>
      </c>
      <c r="BC52" s="1">
        <f t="shared" si="11"/>
        <v>2.6180480967120925</v>
      </c>
      <c r="BD52" s="1">
        <f t="shared" si="11"/>
        <v>2.3926969532596658</v>
      </c>
      <c r="BE52" s="1">
        <f t="shared" si="11"/>
        <v>2.7315887651867388</v>
      </c>
      <c r="BF52" s="1">
        <f t="shared" si="11"/>
        <v>3.1280760126687155</v>
      </c>
      <c r="BG52" s="1">
        <f t="shared" si="11"/>
        <v>3.7140781649818559</v>
      </c>
      <c r="BH52" s="1">
        <f t="shared" si="11"/>
        <v>2.8893017025063101</v>
      </c>
      <c r="BI52" s="1">
        <f t="shared" si="11"/>
        <v>1.3617278360175928</v>
      </c>
      <c r="BJ52" s="1">
        <f t="shared" si="11"/>
        <v>2.3560258571931225</v>
      </c>
      <c r="BK52" s="1">
        <f t="shared" si="11"/>
        <v>1.8129133566428555</v>
      </c>
      <c r="BL52" s="1">
        <f t="shared" si="11"/>
        <v>3.3763944420372662</v>
      </c>
      <c r="BM52" s="1">
        <f t="shared" si="11"/>
        <v>2.4297522800024081</v>
      </c>
      <c r="BN52" s="1">
        <f t="shared" si="11"/>
        <v>3.6897526961391565</v>
      </c>
      <c r="BO52" s="1">
        <f t="shared" si="10"/>
        <v>2.8041394323353503</v>
      </c>
      <c r="BP52" s="1">
        <f t="shared" si="10"/>
        <v>3.7398095990213589</v>
      </c>
      <c r="BQ52" s="1">
        <f t="shared" si="10"/>
        <v>3.0417873189717519</v>
      </c>
      <c r="BR52" s="1">
        <f t="shared" si="10"/>
        <v>2.1553360374650619</v>
      </c>
      <c r="BS52" s="1">
        <f t="shared" si="10"/>
        <v>2.8836614351536176</v>
      </c>
      <c r="BT52" s="1">
        <f t="shared" si="10"/>
        <v>3.3554515201265174</v>
      </c>
    </row>
    <row r="53" spans="1:72" x14ac:dyDescent="0.25">
      <c r="A53" s="2" t="s">
        <v>94</v>
      </c>
      <c r="B53" s="1">
        <f t="shared" si="2"/>
        <v>2.5622928644564746</v>
      </c>
      <c r="C53" s="1">
        <f t="shared" si="11"/>
        <v>4.2009325358991925</v>
      </c>
      <c r="D53" s="1">
        <f t="shared" si="11"/>
        <v>4.0876039736878083</v>
      </c>
      <c r="E53" s="1">
        <f t="shared" si="11"/>
        <v>2.7118072290411912</v>
      </c>
      <c r="F53" s="1">
        <f t="shared" si="11"/>
        <v>3.4094258686714434</v>
      </c>
      <c r="G53" s="1">
        <f t="shared" si="11"/>
        <v>3.2224563366792469</v>
      </c>
      <c r="H53" s="1">
        <f t="shared" si="11"/>
        <v>1.4623979978989561</v>
      </c>
      <c r="I53" s="1">
        <f t="shared" si="11"/>
        <v>2.828015064223977</v>
      </c>
      <c r="J53" s="1">
        <f t="shared" si="11"/>
        <v>3.8822398480188234</v>
      </c>
      <c r="K53" s="1">
        <f t="shared" si="11"/>
        <v>2.5575072019056577</v>
      </c>
      <c r="L53" s="1">
        <f t="shared" si="11"/>
        <v>2.5646660642520893</v>
      </c>
      <c r="M53" s="1">
        <f t="shared" si="11"/>
        <v>3.4022613824546801</v>
      </c>
      <c r="N53" s="1">
        <f t="shared" si="11"/>
        <v>3.6343764940883676</v>
      </c>
      <c r="O53" s="1">
        <f t="shared" si="11"/>
        <v>3.2108533653148932</v>
      </c>
      <c r="P53" s="1">
        <f t="shared" si="11"/>
        <v>2.1613680022349748</v>
      </c>
      <c r="Q53" s="1">
        <f t="shared" si="11"/>
        <v>1.7403626894942439</v>
      </c>
      <c r="R53" s="1">
        <f t="shared" si="11"/>
        <v>2.7427251313046983</v>
      </c>
      <c r="S53" s="1">
        <f t="shared" si="11"/>
        <v>1.4313637641589874</v>
      </c>
      <c r="T53" s="1">
        <f t="shared" si="11"/>
        <v>3.0281644194244697</v>
      </c>
      <c r="U53" s="1">
        <f t="shared" si="11"/>
        <v>3.1142772965615864</v>
      </c>
      <c r="V53" s="1">
        <f t="shared" si="11"/>
        <v>3.2803506930460058</v>
      </c>
      <c r="W53" s="1">
        <f t="shared" si="11"/>
        <v>3.7292458072253067</v>
      </c>
      <c r="X53" s="1">
        <f t="shared" si="11"/>
        <v>2.2764618041732443</v>
      </c>
      <c r="Y53" s="1">
        <f t="shared" si="11"/>
        <v>2.7363965022766426</v>
      </c>
      <c r="Z53" s="1">
        <f t="shared" si="11"/>
        <v>2.2528530309798933</v>
      </c>
      <c r="AA53" s="1">
        <f t="shared" si="11"/>
        <v>0</v>
      </c>
      <c r="AB53" s="1">
        <f t="shared" si="11"/>
        <v>3.1815577738627865</v>
      </c>
      <c r="AC53" s="1">
        <f t="shared" si="11"/>
        <v>3.1604685311190375</v>
      </c>
      <c r="AD53" s="1">
        <f t="shared" si="11"/>
        <v>1.7403626894942439</v>
      </c>
      <c r="AE53" s="1">
        <f t="shared" si="11"/>
        <v>3.1670217957902564</v>
      </c>
      <c r="AF53" s="1">
        <f t="shared" si="11"/>
        <v>2.725094521081469</v>
      </c>
      <c r="AG53" s="1">
        <f t="shared" si="11"/>
        <v>3.2182728535714475</v>
      </c>
      <c r="AH53" s="1">
        <f t="shared" si="11"/>
        <v>3.8446635282402393</v>
      </c>
      <c r="AI53" s="1">
        <f t="shared" si="11"/>
        <v>3.4485517392015779</v>
      </c>
      <c r="AJ53" s="1">
        <f t="shared" si="11"/>
        <v>1.8388490907372552</v>
      </c>
      <c r="AK53" s="1">
        <f t="shared" si="11"/>
        <v>1.4313637641589874</v>
      </c>
      <c r="AL53" s="1">
        <f t="shared" si="11"/>
        <v>1.6720978579357175</v>
      </c>
      <c r="AM53" s="1">
        <f t="shared" si="11"/>
        <v>2.436162647040756</v>
      </c>
      <c r="AN53" s="1">
        <f t="shared" si="11"/>
        <v>2.1903316981702914</v>
      </c>
      <c r="AO53" s="1">
        <f t="shared" si="11"/>
        <v>2.2430380486862944</v>
      </c>
      <c r="AP53" s="1">
        <f t="shared" si="11"/>
        <v>1.6720978579357175</v>
      </c>
      <c r="AQ53" s="1">
        <f t="shared" si="11"/>
        <v>3.1319392952104246</v>
      </c>
      <c r="AR53" s="1">
        <f t="shared" si="11"/>
        <v>2.7427251313046983</v>
      </c>
      <c r="AS53" s="1">
        <f t="shared" si="11"/>
        <v>3.2276296495710088</v>
      </c>
      <c r="AT53" s="1">
        <f t="shared" si="11"/>
        <v>3.4282968139828798</v>
      </c>
      <c r="AU53" s="1">
        <f t="shared" si="11"/>
        <v>4.162594274442422</v>
      </c>
      <c r="AV53" s="1">
        <f t="shared" si="11"/>
        <v>2.5646660642520893</v>
      </c>
      <c r="AW53" s="1">
        <f t="shared" si="11"/>
        <v>3.5792117802314993</v>
      </c>
      <c r="AX53" s="1">
        <f t="shared" si="11"/>
        <v>3.2569581525609319</v>
      </c>
      <c r="AY53" s="1">
        <f t="shared" si="11"/>
        <v>3.2933625547114453</v>
      </c>
      <c r="AZ53" s="1">
        <f t="shared" si="11"/>
        <v>1.2304489213782739</v>
      </c>
      <c r="BA53" s="1">
        <f t="shared" si="11"/>
        <v>2.7831886910752575</v>
      </c>
      <c r="BB53" s="1">
        <f t="shared" si="11"/>
        <v>2.7874604745184151</v>
      </c>
      <c r="BC53" s="1">
        <f t="shared" si="11"/>
        <v>2.7535830588929064</v>
      </c>
      <c r="BD53" s="1">
        <f t="shared" si="11"/>
        <v>2.5301996982030821</v>
      </c>
      <c r="BE53" s="1">
        <f t="shared" si="11"/>
        <v>2.909020854211156</v>
      </c>
      <c r="BF53" s="1">
        <f t="shared" si="11"/>
        <v>3.5474054596674898</v>
      </c>
      <c r="BG53" s="1">
        <f t="shared" si="11"/>
        <v>4.1370691308394081</v>
      </c>
      <c r="BH53" s="1">
        <f t="shared" si="11"/>
        <v>2.8790958795000727</v>
      </c>
      <c r="BI53" s="1">
        <f t="shared" si="11"/>
        <v>1.7403626894942439</v>
      </c>
      <c r="BJ53" s="1">
        <f t="shared" si="11"/>
        <v>3.249198357391113</v>
      </c>
      <c r="BK53" s="1">
        <f t="shared" si="11"/>
        <v>1.6901960800285136</v>
      </c>
      <c r="BL53" s="1">
        <f t="shared" si="11"/>
        <v>3.476976465759527</v>
      </c>
      <c r="BM53" s="1">
        <f t="shared" si="11"/>
        <v>2.3636119798921444</v>
      </c>
      <c r="BN53" s="1">
        <f t="shared" si="11"/>
        <v>3.6716355966021297</v>
      </c>
      <c r="BO53" s="1">
        <f t="shared" si="10"/>
        <v>2.7101173651118162</v>
      </c>
      <c r="BP53" s="1">
        <f t="shared" si="10"/>
        <v>4.1504801222703342</v>
      </c>
      <c r="BQ53" s="1">
        <f t="shared" si="10"/>
        <v>3.2060158767633444</v>
      </c>
      <c r="BR53" s="1">
        <f t="shared" si="10"/>
        <v>2.2855573090077739</v>
      </c>
      <c r="BS53" s="1">
        <f t="shared" si="10"/>
        <v>2.7986506454452691</v>
      </c>
      <c r="BT53" s="1">
        <f t="shared" si="10"/>
        <v>2.9175055095525466</v>
      </c>
    </row>
    <row r="54" spans="1:72" x14ac:dyDescent="0.25">
      <c r="A54" s="2" t="s">
        <v>95</v>
      </c>
      <c r="B54" s="1">
        <f t="shared" si="2"/>
        <v>1.8864907251724818</v>
      </c>
      <c r="C54" s="1">
        <f t="shared" si="11"/>
        <v>4.0204027209838777</v>
      </c>
      <c r="D54" s="1">
        <f t="shared" si="11"/>
        <v>4.3889355812352422</v>
      </c>
      <c r="E54" s="1">
        <f t="shared" si="11"/>
        <v>3.5336449787987627</v>
      </c>
      <c r="F54" s="1">
        <f t="shared" si="11"/>
        <v>3.8925954228288981</v>
      </c>
      <c r="G54" s="1">
        <f t="shared" si="11"/>
        <v>3.4497868469857735</v>
      </c>
      <c r="H54" s="1">
        <f t="shared" si="11"/>
        <v>1.8512583487190752</v>
      </c>
      <c r="I54" s="1">
        <f t="shared" si="11"/>
        <v>2.4578818967339924</v>
      </c>
      <c r="J54" s="1">
        <f t="shared" si="11"/>
        <v>3.8167051836665151</v>
      </c>
      <c r="K54" s="1">
        <f t="shared" si="11"/>
        <v>2.9132839017604186</v>
      </c>
      <c r="L54" s="1">
        <f t="shared" si="11"/>
        <v>2.8603380065709936</v>
      </c>
      <c r="M54" s="1">
        <f t="shared" si="11"/>
        <v>3.2255677134394709</v>
      </c>
      <c r="N54" s="1">
        <f t="shared" si="11"/>
        <v>2.167317334748176</v>
      </c>
      <c r="O54" s="1">
        <f t="shared" si="11"/>
        <v>3.9116369331294423</v>
      </c>
      <c r="P54" s="1">
        <f t="shared" si="11"/>
        <v>2.3856062735983121</v>
      </c>
      <c r="Q54" s="1">
        <f t="shared" si="11"/>
        <v>2.5987905067631152</v>
      </c>
      <c r="R54" s="1">
        <f t="shared" si="11"/>
        <v>3.0081741840064264</v>
      </c>
      <c r="S54" s="1">
        <f t="shared" si="11"/>
        <v>2.5921767573958667</v>
      </c>
      <c r="T54" s="1">
        <f t="shared" si="11"/>
        <v>3.5900612308037427</v>
      </c>
      <c r="U54" s="1">
        <f t="shared" si="11"/>
        <v>2.4814426285023048</v>
      </c>
      <c r="V54" s="1">
        <f t="shared" si="11"/>
        <v>3.8832638595849738</v>
      </c>
      <c r="W54" s="1">
        <f t="shared" si="11"/>
        <v>4.204255678480151</v>
      </c>
      <c r="X54" s="1">
        <f t="shared" si="11"/>
        <v>2.3598354823398879</v>
      </c>
      <c r="Y54" s="1">
        <f t="shared" si="11"/>
        <v>2.4955443375464483</v>
      </c>
      <c r="Z54" s="1">
        <f t="shared" si="11"/>
        <v>2.1903316981702914</v>
      </c>
      <c r="AA54" s="1">
        <f t="shared" si="11"/>
        <v>2.2988530764097068</v>
      </c>
      <c r="AB54" s="1">
        <f t="shared" si="11"/>
        <v>3.1202447955463652</v>
      </c>
      <c r="AC54" s="1">
        <f t="shared" si="11"/>
        <v>3.161667412437736</v>
      </c>
      <c r="AD54" s="1">
        <f t="shared" si="11"/>
        <v>1.8512583487190752</v>
      </c>
      <c r="AE54" s="1">
        <f t="shared" si="11"/>
        <v>1.3979400086720377</v>
      </c>
      <c r="AF54" s="1">
        <f t="shared" si="11"/>
        <v>3.7100326990657537</v>
      </c>
      <c r="AG54" s="1">
        <f t="shared" si="11"/>
        <v>3.0378247505883418</v>
      </c>
      <c r="AH54" s="1">
        <f t="shared" si="11"/>
        <v>3.3144992279731516</v>
      </c>
      <c r="AI54" s="1">
        <f t="shared" si="11"/>
        <v>3.2442771208018431</v>
      </c>
      <c r="AJ54" s="1">
        <f t="shared" si="11"/>
        <v>1.8388490907372552</v>
      </c>
      <c r="AK54" s="1">
        <f t="shared" si="11"/>
        <v>1.7403626894942439</v>
      </c>
      <c r="AL54" s="1">
        <f t="shared" si="11"/>
        <v>1.6720978579357175</v>
      </c>
      <c r="AM54" s="1">
        <f t="shared" si="11"/>
        <v>4.0310447165837049</v>
      </c>
      <c r="AN54" s="1">
        <f t="shared" si="11"/>
        <v>1.919078092376074</v>
      </c>
      <c r="AO54" s="1">
        <f t="shared" si="11"/>
        <v>1.7403626894942439</v>
      </c>
      <c r="AP54" s="1">
        <f t="shared" si="11"/>
        <v>1.8260748027008264</v>
      </c>
      <c r="AQ54" s="1">
        <f t="shared" si="11"/>
        <v>1.8750612633917001</v>
      </c>
      <c r="AR54" s="1">
        <f t="shared" si="11"/>
        <v>3.1344958558346736</v>
      </c>
      <c r="AS54" s="1">
        <f t="shared" si="11"/>
        <v>3.6453240015622934</v>
      </c>
      <c r="AT54" s="1">
        <f t="shared" si="11"/>
        <v>3.6628522332647964</v>
      </c>
      <c r="AU54" s="1">
        <f t="shared" si="11"/>
        <v>4.3294995757628429</v>
      </c>
      <c r="AV54" s="1">
        <f t="shared" si="11"/>
        <v>2.7442929831226763</v>
      </c>
      <c r="AW54" s="1">
        <f t="shared" si="11"/>
        <v>4.1146443389022789</v>
      </c>
      <c r="AX54" s="1">
        <f t="shared" si="11"/>
        <v>2.5575072019056577</v>
      </c>
      <c r="AY54" s="1">
        <f t="shared" si="11"/>
        <v>1.4913616938342726</v>
      </c>
      <c r="AZ54" s="1">
        <f t="shared" si="11"/>
        <v>4.0893044518478705</v>
      </c>
      <c r="BA54" s="1">
        <f t="shared" si="11"/>
        <v>2.6580113966571126</v>
      </c>
      <c r="BB54" s="1">
        <f t="shared" si="11"/>
        <v>3.2617385473525378</v>
      </c>
      <c r="BC54" s="1">
        <f t="shared" si="11"/>
        <v>2.9153998352122699</v>
      </c>
      <c r="BD54" s="1">
        <f t="shared" si="11"/>
        <v>3.2452658394574612</v>
      </c>
      <c r="BE54" s="1">
        <f t="shared" si="11"/>
        <v>4.0333835411731194</v>
      </c>
      <c r="BF54" s="1">
        <f t="shared" si="11"/>
        <v>3.30941722577814</v>
      </c>
      <c r="BG54" s="1">
        <f t="shared" si="11"/>
        <v>2.7299742856995555</v>
      </c>
      <c r="BH54" s="1">
        <f t="shared" si="11"/>
        <v>2.4638929889859074</v>
      </c>
      <c r="BI54" s="1">
        <f t="shared" si="11"/>
        <v>2.781755374652469</v>
      </c>
      <c r="BJ54" s="1">
        <f t="shared" si="11"/>
        <v>2.6324572921847245</v>
      </c>
      <c r="BK54" s="1">
        <f t="shared" si="11"/>
        <v>4.0791450533327485</v>
      </c>
      <c r="BL54" s="1">
        <f t="shared" si="11"/>
        <v>3.9901167660679042</v>
      </c>
      <c r="BM54" s="1">
        <f t="shared" si="11"/>
        <v>3.2574385668598138</v>
      </c>
      <c r="BN54" s="1">
        <f t="shared" ref="BN54:BT57" si="12">LOG(BN23+1)</f>
        <v>4.3099068355686807</v>
      </c>
      <c r="BO54" s="1">
        <f t="shared" si="12"/>
        <v>2.3856062735983121</v>
      </c>
      <c r="BP54" s="1">
        <f t="shared" si="12"/>
        <v>3.2739267801005254</v>
      </c>
      <c r="BQ54" s="1">
        <f t="shared" si="12"/>
        <v>3.4220971631317103</v>
      </c>
      <c r="BR54" s="1">
        <f t="shared" si="12"/>
        <v>2.8254261177678233</v>
      </c>
      <c r="BS54" s="1">
        <f t="shared" si="12"/>
        <v>2.9995654882259823</v>
      </c>
      <c r="BT54" s="1">
        <f t="shared" si="12"/>
        <v>2.3673559210260189</v>
      </c>
    </row>
    <row r="55" spans="1:72" x14ac:dyDescent="0.25">
      <c r="A55" s="2" t="s">
        <v>96</v>
      </c>
      <c r="B55" s="1">
        <f t="shared" si="2"/>
        <v>1.8512583487190752</v>
      </c>
      <c r="C55" s="1">
        <f t="shared" ref="C55:BN58" si="13">LOG(C24+1)</f>
        <v>3.8329557506045986</v>
      </c>
      <c r="D55" s="1">
        <f t="shared" si="13"/>
        <v>4.2974759933242117</v>
      </c>
      <c r="E55" s="1">
        <f t="shared" si="13"/>
        <v>3.4385423487861106</v>
      </c>
      <c r="F55" s="1">
        <f t="shared" si="13"/>
        <v>3.7367947549243605</v>
      </c>
      <c r="G55" s="1">
        <f t="shared" si="13"/>
        <v>3.3161800988934527</v>
      </c>
      <c r="H55" s="1">
        <f t="shared" si="13"/>
        <v>1.9590413923210936</v>
      </c>
      <c r="I55" s="1">
        <f t="shared" si="13"/>
        <v>2.5809249756756194</v>
      </c>
      <c r="J55" s="1">
        <f t="shared" si="13"/>
        <v>3.9418591265253737</v>
      </c>
      <c r="K55" s="1">
        <f t="shared" si="13"/>
        <v>2.7363965022766426</v>
      </c>
      <c r="L55" s="1">
        <f t="shared" si="13"/>
        <v>2.7596678446896306</v>
      </c>
      <c r="M55" s="1">
        <f t="shared" si="13"/>
        <v>3.0817072700973491</v>
      </c>
      <c r="N55" s="1">
        <f t="shared" si="13"/>
        <v>2.3117538610557542</v>
      </c>
      <c r="O55" s="1">
        <f t="shared" si="13"/>
        <v>3.6721902511882525</v>
      </c>
      <c r="P55" s="1">
        <f t="shared" si="13"/>
        <v>2.3820170425748683</v>
      </c>
      <c r="Q55" s="1">
        <f t="shared" si="13"/>
        <v>2.1553360374650619</v>
      </c>
      <c r="R55" s="1">
        <f t="shared" si="13"/>
        <v>2.9772662124272928</v>
      </c>
      <c r="S55" s="1">
        <f t="shared" si="13"/>
        <v>2.2227164711475833</v>
      </c>
      <c r="T55" s="1">
        <f t="shared" si="13"/>
        <v>3.5215303412787109</v>
      </c>
      <c r="U55" s="1">
        <f t="shared" si="13"/>
        <v>2.2013971243204513</v>
      </c>
      <c r="V55" s="1">
        <f t="shared" si="13"/>
        <v>3.6327608884794387</v>
      </c>
      <c r="W55" s="1">
        <f t="shared" si="13"/>
        <v>3.989761187718778</v>
      </c>
      <c r="X55" s="1">
        <f t="shared" si="13"/>
        <v>2.4814426285023048</v>
      </c>
      <c r="Y55" s="1">
        <f t="shared" si="13"/>
        <v>2.5198279937757189</v>
      </c>
      <c r="Z55" s="1">
        <f t="shared" si="13"/>
        <v>2.2430380486862944</v>
      </c>
      <c r="AA55" s="1">
        <f t="shared" si="13"/>
        <v>2.6053050461411096</v>
      </c>
      <c r="AB55" s="1">
        <f t="shared" si="13"/>
        <v>3.1610683854711747</v>
      </c>
      <c r="AC55" s="1">
        <f t="shared" si="13"/>
        <v>3.1967287226232868</v>
      </c>
      <c r="AD55" s="1">
        <f t="shared" si="13"/>
        <v>1.8864907251724818</v>
      </c>
      <c r="AE55" s="1">
        <f t="shared" si="13"/>
        <v>1.3979400086720377</v>
      </c>
      <c r="AF55" s="1">
        <f t="shared" si="13"/>
        <v>3.6301226428593121</v>
      </c>
      <c r="AG55" s="1">
        <f t="shared" si="13"/>
        <v>3.0773679052841563</v>
      </c>
      <c r="AH55" s="1">
        <f t="shared" si="13"/>
        <v>3.2240148113728639</v>
      </c>
      <c r="AI55" s="1">
        <f t="shared" si="13"/>
        <v>3.1544239731146471</v>
      </c>
      <c r="AJ55" s="1">
        <f t="shared" si="13"/>
        <v>1.8260748027008264</v>
      </c>
      <c r="AK55" s="1">
        <f t="shared" si="13"/>
        <v>1.8976270912904414</v>
      </c>
      <c r="AL55" s="1">
        <f t="shared" si="13"/>
        <v>1.3222192947339193</v>
      </c>
      <c r="AM55" s="1">
        <f t="shared" si="13"/>
        <v>3.7988577317474856</v>
      </c>
      <c r="AN55" s="1">
        <f t="shared" si="13"/>
        <v>1.8388490907372552</v>
      </c>
      <c r="AO55" s="1">
        <f t="shared" si="13"/>
        <v>1.8864907251724818</v>
      </c>
      <c r="AP55" s="1">
        <f t="shared" si="13"/>
        <v>1.8260748027008264</v>
      </c>
      <c r="AQ55" s="1">
        <f t="shared" si="13"/>
        <v>1.8129133566428555</v>
      </c>
      <c r="AR55" s="1">
        <f t="shared" si="13"/>
        <v>3.0909630765957314</v>
      </c>
      <c r="AS55" s="1">
        <f t="shared" si="13"/>
        <v>3.369772288596963</v>
      </c>
      <c r="AT55" s="1">
        <f t="shared" si="13"/>
        <v>3.4114513421379375</v>
      </c>
      <c r="AU55" s="1">
        <f t="shared" si="13"/>
        <v>4.1536014742884113</v>
      </c>
      <c r="AV55" s="1">
        <f t="shared" si="13"/>
        <v>3.1809855807867304</v>
      </c>
      <c r="AW55" s="1">
        <f t="shared" si="13"/>
        <v>3.9574636157299312</v>
      </c>
      <c r="AX55" s="1">
        <f t="shared" si="13"/>
        <v>2.4517864355242902</v>
      </c>
      <c r="AY55" s="1">
        <f t="shared" si="13"/>
        <v>1.3617278360175928</v>
      </c>
      <c r="AZ55" s="1">
        <f t="shared" si="13"/>
        <v>3.9962927185413215</v>
      </c>
      <c r="BA55" s="1">
        <f t="shared" si="13"/>
        <v>2.4166405073382808</v>
      </c>
      <c r="BB55" s="1">
        <f t="shared" si="13"/>
        <v>2.9057958803678687</v>
      </c>
      <c r="BC55" s="1">
        <f t="shared" si="13"/>
        <v>2.8767949762007006</v>
      </c>
      <c r="BD55" s="1">
        <f t="shared" si="13"/>
        <v>3.0433622780211294</v>
      </c>
      <c r="BE55" s="1">
        <f t="shared" si="13"/>
        <v>3.8508299598485309</v>
      </c>
      <c r="BF55" s="1">
        <f t="shared" si="13"/>
        <v>3.1089031276673134</v>
      </c>
      <c r="BG55" s="1">
        <f t="shared" si="13"/>
        <v>2.6324572921847245</v>
      </c>
      <c r="BH55" s="1">
        <f t="shared" si="13"/>
        <v>2.5477747053878224</v>
      </c>
      <c r="BI55" s="1">
        <f t="shared" si="13"/>
        <v>2.6541765418779604</v>
      </c>
      <c r="BJ55" s="1">
        <f t="shared" si="13"/>
        <v>2.5352941200427703</v>
      </c>
      <c r="BK55" s="1">
        <f t="shared" si="13"/>
        <v>3.9992610711131005</v>
      </c>
      <c r="BL55" s="1">
        <f t="shared" si="13"/>
        <v>3.7861122837198264</v>
      </c>
      <c r="BM55" s="1">
        <f t="shared" si="13"/>
        <v>3.2281436075977417</v>
      </c>
      <c r="BN55" s="1">
        <f t="shared" si="13"/>
        <v>4.0810951565613403</v>
      </c>
      <c r="BO55" s="1">
        <f t="shared" si="12"/>
        <v>2.2278867046136734</v>
      </c>
      <c r="BP55" s="1">
        <f t="shared" si="12"/>
        <v>3.2753113545418118</v>
      </c>
      <c r="BQ55" s="1">
        <f t="shared" si="12"/>
        <v>3.1501421618485588</v>
      </c>
      <c r="BR55" s="1">
        <f t="shared" si="12"/>
        <v>2.9508514588885464</v>
      </c>
      <c r="BS55" s="1">
        <f t="shared" si="12"/>
        <v>2.8981764834976764</v>
      </c>
      <c r="BT55" s="1">
        <f t="shared" si="12"/>
        <v>2.4517864355242902</v>
      </c>
    </row>
    <row r="56" spans="1:72" x14ac:dyDescent="0.25">
      <c r="A56" s="2" t="s">
        <v>97</v>
      </c>
      <c r="B56" s="1">
        <f t="shared" si="2"/>
        <v>2.8959747323590648</v>
      </c>
      <c r="C56" s="1">
        <f t="shared" si="13"/>
        <v>3.4073909044707316</v>
      </c>
      <c r="D56" s="1">
        <f t="shared" si="13"/>
        <v>4.7131123658810248</v>
      </c>
      <c r="E56" s="1">
        <f t="shared" si="13"/>
        <v>3.8176314671905152</v>
      </c>
      <c r="F56" s="1">
        <f t="shared" si="13"/>
        <v>2.6031443726201822</v>
      </c>
      <c r="G56" s="1">
        <f t="shared" si="13"/>
        <v>2.6503075231319366</v>
      </c>
      <c r="H56" s="1">
        <f t="shared" si="13"/>
        <v>2.7168377232995247</v>
      </c>
      <c r="I56" s="1">
        <f t="shared" si="13"/>
        <v>3.9639294220265584</v>
      </c>
      <c r="J56" s="1">
        <f t="shared" si="13"/>
        <v>3.5006480633719121</v>
      </c>
      <c r="K56" s="1">
        <f t="shared" si="13"/>
        <v>2.3031960574204891</v>
      </c>
      <c r="L56" s="1">
        <f t="shared" si="13"/>
        <v>2.7151673578484576</v>
      </c>
      <c r="M56" s="1">
        <f t="shared" si="13"/>
        <v>3.1740598077250253</v>
      </c>
      <c r="N56" s="1">
        <f t="shared" si="13"/>
        <v>2.8937617620579434</v>
      </c>
      <c r="O56" s="1">
        <f t="shared" si="13"/>
        <v>3.4321672694425884</v>
      </c>
      <c r="P56" s="1">
        <f t="shared" si="13"/>
        <v>3.1580607939366052</v>
      </c>
      <c r="Q56" s="1">
        <f t="shared" si="13"/>
        <v>2.0293837776852097</v>
      </c>
      <c r="R56" s="1">
        <f t="shared" si="13"/>
        <v>3.2981978671098151</v>
      </c>
      <c r="S56" s="1">
        <f t="shared" si="13"/>
        <v>1.9395192526186185</v>
      </c>
      <c r="T56" s="1">
        <f t="shared" si="13"/>
        <v>3.0916669575956846</v>
      </c>
      <c r="U56" s="1">
        <f t="shared" si="13"/>
        <v>2.4814426285023048</v>
      </c>
      <c r="V56" s="1">
        <f t="shared" si="13"/>
        <v>3.1202447955463652</v>
      </c>
      <c r="W56" s="1">
        <f t="shared" si="13"/>
        <v>3.6922298357727557</v>
      </c>
      <c r="X56" s="1">
        <f t="shared" si="13"/>
        <v>4.1224452562819556</v>
      </c>
      <c r="Y56" s="1">
        <f t="shared" si="13"/>
        <v>3.4844422076424069</v>
      </c>
      <c r="Z56" s="1">
        <f t="shared" si="13"/>
        <v>3.8328281295393536</v>
      </c>
      <c r="AA56" s="1">
        <f t="shared" si="13"/>
        <v>1.8864907251724818</v>
      </c>
      <c r="AB56" s="1">
        <f t="shared" si="13"/>
        <v>4.0664377464539925</v>
      </c>
      <c r="AC56" s="1">
        <f t="shared" si="13"/>
        <v>4.1370691308394081</v>
      </c>
      <c r="AD56" s="1">
        <f t="shared" si="13"/>
        <v>3.1189257528257768</v>
      </c>
      <c r="AE56" s="1">
        <f t="shared" si="13"/>
        <v>2.6655809910179533</v>
      </c>
      <c r="AF56" s="1">
        <f t="shared" si="13"/>
        <v>2.1846914308175989</v>
      </c>
      <c r="AG56" s="1">
        <f t="shared" si="13"/>
        <v>3.3918169236132489</v>
      </c>
      <c r="AH56" s="1">
        <f t="shared" si="13"/>
        <v>3.7081658578555401</v>
      </c>
      <c r="AI56" s="1">
        <f t="shared" si="13"/>
        <v>4.5358382298621134</v>
      </c>
      <c r="AJ56" s="1">
        <f t="shared" si="13"/>
        <v>3.9000939015433982</v>
      </c>
      <c r="AK56" s="1">
        <f t="shared" si="13"/>
        <v>2.667452952889954</v>
      </c>
      <c r="AL56" s="1">
        <f t="shared" si="13"/>
        <v>2.8836614351536176</v>
      </c>
      <c r="AM56" s="1">
        <f t="shared" si="13"/>
        <v>2.2227164711475833</v>
      </c>
      <c r="AN56" s="1">
        <f t="shared" si="13"/>
        <v>2.5550944485783194</v>
      </c>
      <c r="AO56" s="1">
        <f t="shared" si="13"/>
        <v>2.2068258760318495</v>
      </c>
      <c r="AP56" s="1">
        <f t="shared" si="13"/>
        <v>2.3159703454569178</v>
      </c>
      <c r="AQ56" s="1">
        <f t="shared" si="13"/>
        <v>3.2219355998280053</v>
      </c>
      <c r="AR56" s="1">
        <f t="shared" si="13"/>
        <v>3.784260582566084</v>
      </c>
      <c r="AS56" s="1">
        <f t="shared" si="13"/>
        <v>3.2271150825891253</v>
      </c>
      <c r="AT56" s="1">
        <f t="shared" si="13"/>
        <v>3.0098756337121602</v>
      </c>
      <c r="AU56" s="1">
        <f t="shared" si="13"/>
        <v>3.5207454715194824</v>
      </c>
      <c r="AV56" s="1">
        <f t="shared" si="13"/>
        <v>2.8981764834976764</v>
      </c>
      <c r="AW56" s="1">
        <f t="shared" si="13"/>
        <v>1.7558748556724915</v>
      </c>
      <c r="AX56" s="1">
        <f t="shared" si="13"/>
        <v>1.4313637641589874</v>
      </c>
      <c r="AY56" s="1">
        <f t="shared" si="13"/>
        <v>1.9294189257142926</v>
      </c>
      <c r="AZ56" s="1">
        <f t="shared" si="13"/>
        <v>2.6222140229662951</v>
      </c>
      <c r="BA56" s="1">
        <f t="shared" si="13"/>
        <v>3.0124153747624329</v>
      </c>
      <c r="BB56" s="1">
        <f t="shared" si="13"/>
        <v>4.3951341074778121</v>
      </c>
      <c r="BC56" s="1">
        <f t="shared" si="13"/>
        <v>2.3926969532596658</v>
      </c>
      <c r="BD56" s="1">
        <f t="shared" si="13"/>
        <v>2.4727564493172123</v>
      </c>
      <c r="BE56" s="1">
        <f t="shared" si="13"/>
        <v>2.7315887651867388</v>
      </c>
      <c r="BF56" s="1">
        <f t="shared" si="13"/>
        <v>3.82885315967664</v>
      </c>
      <c r="BG56" s="1">
        <f t="shared" si="13"/>
        <v>3.0322157032979815</v>
      </c>
      <c r="BH56" s="1">
        <f t="shared" si="13"/>
        <v>3.83499260373303</v>
      </c>
      <c r="BI56" s="1">
        <f t="shared" si="13"/>
        <v>1.9777236052888478</v>
      </c>
      <c r="BJ56" s="1">
        <f t="shared" si="13"/>
        <v>3.2929202996000062</v>
      </c>
      <c r="BK56" s="1">
        <f t="shared" si="13"/>
        <v>2.4899584794248346</v>
      </c>
      <c r="BL56" s="1">
        <f t="shared" si="13"/>
        <v>2.3891660843645326</v>
      </c>
      <c r="BM56" s="1">
        <f t="shared" si="13"/>
        <v>2.0374264979406238</v>
      </c>
      <c r="BN56" s="1">
        <f t="shared" si="13"/>
        <v>2.4297522800024081</v>
      </c>
      <c r="BO56" s="1">
        <f t="shared" si="12"/>
        <v>3.4029488293444046</v>
      </c>
      <c r="BP56" s="1">
        <f t="shared" si="12"/>
        <v>2.4955443375464483</v>
      </c>
      <c r="BQ56" s="1">
        <f t="shared" si="12"/>
        <v>3.3615389712692791</v>
      </c>
      <c r="BR56" s="1">
        <f t="shared" si="12"/>
        <v>2.3159703454569178</v>
      </c>
      <c r="BS56" s="1">
        <f t="shared" si="12"/>
        <v>3.7460890430562004</v>
      </c>
      <c r="BT56" s="1">
        <f t="shared" si="12"/>
        <v>3.7331169814420644</v>
      </c>
    </row>
    <row r="57" spans="1:72" x14ac:dyDescent="0.25">
      <c r="A57" s="2" t="s">
        <v>98</v>
      </c>
      <c r="B57" s="1">
        <f t="shared" si="2"/>
        <v>3.5762261374496052</v>
      </c>
      <c r="C57" s="1">
        <f t="shared" si="13"/>
        <v>3.6413749451921253</v>
      </c>
      <c r="D57" s="1">
        <f t="shared" si="13"/>
        <v>4.0549575960124065</v>
      </c>
      <c r="E57" s="1">
        <f t="shared" si="13"/>
        <v>3.3008127941181171</v>
      </c>
      <c r="F57" s="1">
        <f t="shared" si="13"/>
        <v>4.3251255262169304</v>
      </c>
      <c r="G57" s="1">
        <f t="shared" si="13"/>
        <v>2.9872192299080047</v>
      </c>
      <c r="H57" s="1">
        <f t="shared" si="13"/>
        <v>2.1238516409670858</v>
      </c>
      <c r="I57" s="1">
        <f t="shared" si="13"/>
        <v>2.6201360549737576</v>
      </c>
      <c r="J57" s="1">
        <f t="shared" si="13"/>
        <v>4.1965354144222555</v>
      </c>
      <c r="K57" s="1">
        <f t="shared" si="13"/>
        <v>2.4424797690644486</v>
      </c>
      <c r="L57" s="1">
        <f t="shared" si="13"/>
        <v>2.909020854211156</v>
      </c>
      <c r="M57" s="1">
        <f t="shared" si="13"/>
        <v>2.7315887651867388</v>
      </c>
      <c r="N57" s="1">
        <f t="shared" si="13"/>
        <v>2.5693739096150461</v>
      </c>
      <c r="O57" s="1">
        <f t="shared" si="13"/>
        <v>2.4814426285023048</v>
      </c>
      <c r="P57" s="1">
        <f t="shared" si="13"/>
        <v>2.6580113966571126</v>
      </c>
      <c r="Q57" s="1">
        <f t="shared" si="13"/>
        <v>1.6720978579357175</v>
      </c>
      <c r="R57" s="1">
        <f t="shared" si="13"/>
        <v>2.2944662261615929</v>
      </c>
      <c r="S57" s="1">
        <f t="shared" si="13"/>
        <v>1.7242758696007889</v>
      </c>
      <c r="T57" s="1">
        <f t="shared" si="13"/>
        <v>3.0519239160461065</v>
      </c>
      <c r="U57" s="1">
        <f t="shared" si="13"/>
        <v>2.4329692908744058</v>
      </c>
      <c r="V57" s="1">
        <f t="shared" si="13"/>
        <v>3.0449315461491602</v>
      </c>
      <c r="W57" s="1">
        <f t="shared" si="13"/>
        <v>3.3611609951950259</v>
      </c>
      <c r="X57" s="1">
        <f t="shared" si="13"/>
        <v>2.5477747053878224</v>
      </c>
      <c r="Y57" s="1">
        <f t="shared" si="13"/>
        <v>2.4955443375464483</v>
      </c>
      <c r="Z57" s="1">
        <f t="shared" si="13"/>
        <v>2.5899496013257077</v>
      </c>
      <c r="AA57" s="1">
        <f t="shared" si="13"/>
        <v>1.4623979978989561</v>
      </c>
      <c r="AB57" s="1">
        <f t="shared" si="13"/>
        <v>3.2706788361447066</v>
      </c>
      <c r="AC57" s="1">
        <f t="shared" si="13"/>
        <v>3.35237549500052</v>
      </c>
      <c r="AD57" s="1">
        <f t="shared" si="13"/>
        <v>2.1492191126553797</v>
      </c>
      <c r="AE57" s="1">
        <f t="shared" si="13"/>
        <v>2.3926969532596658</v>
      </c>
      <c r="AF57" s="1">
        <f t="shared" si="13"/>
        <v>2.4424797690644486</v>
      </c>
      <c r="AG57" s="1">
        <f t="shared" si="13"/>
        <v>3.5510838651857801</v>
      </c>
      <c r="AH57" s="1">
        <f t="shared" si="13"/>
        <v>3.2946866242794433</v>
      </c>
      <c r="AI57" s="1">
        <f t="shared" si="13"/>
        <v>3.2839792842384798</v>
      </c>
      <c r="AJ57" s="1">
        <f t="shared" si="13"/>
        <v>3.0979510709941498</v>
      </c>
      <c r="AK57" s="1">
        <f t="shared" si="13"/>
        <v>2.0969100130080562</v>
      </c>
      <c r="AL57" s="1">
        <f t="shared" si="13"/>
        <v>3.1041455505540081</v>
      </c>
      <c r="AM57" s="1">
        <f t="shared" si="13"/>
        <v>3.5109469486729727</v>
      </c>
      <c r="AN57" s="1">
        <f t="shared" si="13"/>
        <v>3.2022157758011316</v>
      </c>
      <c r="AO57" s="1">
        <f t="shared" si="13"/>
        <v>1.8633228601204559</v>
      </c>
      <c r="AP57" s="1">
        <f t="shared" si="13"/>
        <v>2.503790683057181</v>
      </c>
      <c r="AQ57" s="1">
        <f t="shared" si="13"/>
        <v>1.6532125137753437</v>
      </c>
      <c r="AR57" s="1">
        <f t="shared" si="13"/>
        <v>3.6654871807828107</v>
      </c>
      <c r="AS57" s="1">
        <f t="shared" si="13"/>
        <v>3.4746532533620629</v>
      </c>
      <c r="AT57" s="1">
        <f t="shared" si="13"/>
        <v>3.1254812657005941</v>
      </c>
      <c r="AU57" s="1">
        <f t="shared" si="13"/>
        <v>3.6297153326471321</v>
      </c>
      <c r="AV57" s="1">
        <f t="shared" si="13"/>
        <v>2.2278867046136734</v>
      </c>
      <c r="AW57" s="1">
        <f t="shared" si="13"/>
        <v>3.6214878645806303</v>
      </c>
      <c r="AX57" s="1">
        <f t="shared" si="13"/>
        <v>2.271841606536499</v>
      </c>
      <c r="AY57" s="1">
        <f t="shared" si="13"/>
        <v>1.5910646070264991</v>
      </c>
      <c r="AZ57" s="1">
        <f t="shared" si="13"/>
        <v>2.8543060418010806</v>
      </c>
      <c r="BA57" s="1">
        <f t="shared" si="13"/>
        <v>2.5118833609788744</v>
      </c>
      <c r="BB57" s="1">
        <f t="shared" si="13"/>
        <v>2.1492191126553797</v>
      </c>
      <c r="BC57" s="1">
        <f t="shared" si="13"/>
        <v>3.0958664534785427</v>
      </c>
      <c r="BD57" s="1">
        <f t="shared" si="13"/>
        <v>2.9132839017604186</v>
      </c>
      <c r="BE57" s="1">
        <f t="shared" si="13"/>
        <v>3.8486201174341339</v>
      </c>
      <c r="BF57" s="1">
        <f t="shared" si="13"/>
        <v>3.2734642726213461</v>
      </c>
      <c r="BG57" s="1">
        <f t="shared" si="13"/>
        <v>3.2678754193188975</v>
      </c>
      <c r="BH57" s="1">
        <f t="shared" si="13"/>
        <v>2.6946051989335689</v>
      </c>
      <c r="BI57" s="1">
        <f t="shared" si="13"/>
        <v>2.6201360549737576</v>
      </c>
      <c r="BJ57" s="1">
        <f t="shared" si="13"/>
        <v>3.079543007402906</v>
      </c>
      <c r="BK57" s="1">
        <f t="shared" si="13"/>
        <v>2.8790958795000727</v>
      </c>
      <c r="BL57" s="1">
        <f t="shared" si="13"/>
        <v>3.2487087356009177</v>
      </c>
      <c r="BM57" s="1">
        <f t="shared" si="13"/>
        <v>2.5453071164658239</v>
      </c>
      <c r="BN57" s="1">
        <f t="shared" si="13"/>
        <v>4.3026988189917885</v>
      </c>
      <c r="BO57" s="1">
        <f t="shared" si="12"/>
        <v>2.1172712956557644</v>
      </c>
      <c r="BP57" s="1">
        <f t="shared" si="12"/>
        <v>3.5305838596451178</v>
      </c>
      <c r="BQ57" s="1">
        <f t="shared" si="12"/>
        <v>2.8992731873176036</v>
      </c>
      <c r="BR57" s="1">
        <f t="shared" si="12"/>
        <v>2.8970770032094202</v>
      </c>
      <c r="BS57" s="1">
        <f t="shared" si="12"/>
        <v>2.9576072870600951</v>
      </c>
      <c r="BT57" s="1">
        <f t="shared" si="12"/>
        <v>2.4487063199050798</v>
      </c>
    </row>
    <row r="58" spans="1:72" x14ac:dyDescent="0.25">
      <c r="A58" s="2" t="s">
        <v>99</v>
      </c>
      <c r="B58" s="1">
        <f t="shared" si="2"/>
        <v>2.5921767573958667</v>
      </c>
      <c r="C58" s="1">
        <f t="shared" si="13"/>
        <v>4.3116903011148793</v>
      </c>
      <c r="D58" s="1">
        <f t="shared" si="13"/>
        <v>4.0494893719335563</v>
      </c>
      <c r="E58" s="1">
        <f t="shared" si="13"/>
        <v>2.9781805169374138</v>
      </c>
      <c r="F58" s="1">
        <f t="shared" si="13"/>
        <v>4.3975054968980203</v>
      </c>
      <c r="G58" s="1">
        <f t="shared" si="13"/>
        <v>3.3796680340336538</v>
      </c>
      <c r="H58" s="1">
        <f t="shared" si="13"/>
        <v>2.4517864355242902</v>
      </c>
      <c r="I58" s="1">
        <f t="shared" si="13"/>
        <v>3.4121244061733171</v>
      </c>
      <c r="J58" s="1">
        <f t="shared" si="13"/>
        <v>3.8986703429655298</v>
      </c>
      <c r="K58" s="1">
        <f t="shared" si="13"/>
        <v>2.5550944485783194</v>
      </c>
      <c r="L58" s="1">
        <f t="shared" si="13"/>
        <v>3.2432861460834461</v>
      </c>
      <c r="M58" s="1">
        <f t="shared" si="13"/>
        <v>3.4878451201114355</v>
      </c>
      <c r="N58" s="1">
        <f t="shared" si="13"/>
        <v>3.3577443251803754</v>
      </c>
      <c r="O58" s="1">
        <f t="shared" si="13"/>
        <v>3.2265999052073573</v>
      </c>
      <c r="P58" s="1">
        <f t="shared" si="13"/>
        <v>3.2245330626060857</v>
      </c>
      <c r="Q58" s="1">
        <f t="shared" si="13"/>
        <v>2.6785183790401139</v>
      </c>
      <c r="R58" s="1">
        <f t="shared" si="13"/>
        <v>2.8254261177678233</v>
      </c>
      <c r="S58" s="1">
        <f t="shared" si="13"/>
        <v>2.9132839017604186</v>
      </c>
      <c r="T58" s="1">
        <f t="shared" si="13"/>
        <v>3.6567687792660166</v>
      </c>
      <c r="U58" s="1">
        <f t="shared" si="13"/>
        <v>3.1939589780191868</v>
      </c>
      <c r="V58" s="1">
        <f t="shared" si="13"/>
        <v>3.1109262422664203</v>
      </c>
      <c r="W58" s="1">
        <f t="shared" si="13"/>
        <v>3.4978967429132202</v>
      </c>
      <c r="X58" s="1">
        <f t="shared" si="13"/>
        <v>3.3382572302462554</v>
      </c>
      <c r="Y58" s="1">
        <f t="shared" si="13"/>
        <v>3.2367890994092927</v>
      </c>
      <c r="Z58" s="1">
        <f t="shared" si="13"/>
        <v>2.9479236198317262</v>
      </c>
      <c r="AA58" s="1">
        <f t="shared" si="13"/>
        <v>2.2380461031287955</v>
      </c>
      <c r="AB58" s="1">
        <f t="shared" si="13"/>
        <v>4.2139690824146996</v>
      </c>
      <c r="AC58" s="1">
        <f t="shared" si="13"/>
        <v>4.2780444365328805</v>
      </c>
      <c r="AD58" s="1">
        <f t="shared" si="13"/>
        <v>2.8394780473741985</v>
      </c>
      <c r="AE58" s="1">
        <f t="shared" si="13"/>
        <v>2.6910814921229687</v>
      </c>
      <c r="AF58" s="1">
        <f t="shared" si="13"/>
        <v>2.5550944485783194</v>
      </c>
      <c r="AG58" s="1">
        <f t="shared" si="13"/>
        <v>3.6088468223264116</v>
      </c>
      <c r="AH58" s="1">
        <f t="shared" si="13"/>
        <v>3.9134429548593959</v>
      </c>
      <c r="AI58" s="1">
        <f t="shared" si="13"/>
        <v>3.7981670597159392</v>
      </c>
      <c r="AJ58" s="1">
        <f t="shared" si="13"/>
        <v>3.1014033505553309</v>
      </c>
      <c r="AK58" s="1">
        <f t="shared" si="13"/>
        <v>2.3636119798921444</v>
      </c>
      <c r="AL58" s="1">
        <f t="shared" si="13"/>
        <v>2.6928469192772302</v>
      </c>
      <c r="AM58" s="1">
        <f t="shared" si="13"/>
        <v>2.8082109729242219</v>
      </c>
      <c r="AN58" s="1">
        <f t="shared" si="13"/>
        <v>3.6813317059691659</v>
      </c>
      <c r="AO58" s="1">
        <f t="shared" si="13"/>
        <v>2.5809249756756194</v>
      </c>
      <c r="AP58" s="1">
        <f t="shared" si="13"/>
        <v>2.509202522331103</v>
      </c>
      <c r="AQ58" s="1">
        <f t="shared" si="13"/>
        <v>3.4080702858871854</v>
      </c>
      <c r="AR58" s="1">
        <f t="shared" si="13"/>
        <v>3.9042285163400785</v>
      </c>
      <c r="AS58" s="1">
        <f t="shared" si="13"/>
        <v>3.6707095952237969</v>
      </c>
      <c r="AT58" s="1">
        <f t="shared" si="13"/>
        <v>4.0459876056609678</v>
      </c>
      <c r="AU58" s="1">
        <f t="shared" si="13"/>
        <v>4.1597776727872482</v>
      </c>
      <c r="AV58" s="1">
        <f t="shared" si="13"/>
        <v>2.5118833609788744</v>
      </c>
      <c r="AW58" s="1">
        <f t="shared" si="13"/>
        <v>3.876621916034273</v>
      </c>
      <c r="AX58" s="1">
        <f t="shared" si="13"/>
        <v>3.3496659840966299</v>
      </c>
      <c r="AY58" s="1">
        <f t="shared" si="13"/>
        <v>0.95424250943932487</v>
      </c>
      <c r="AZ58" s="1">
        <f t="shared" si="13"/>
        <v>2.6180480967120925</v>
      </c>
      <c r="BA58" s="1">
        <f t="shared" si="13"/>
        <v>2.6730209071288962</v>
      </c>
      <c r="BB58" s="1">
        <f t="shared" si="13"/>
        <v>3.4184670209466006</v>
      </c>
      <c r="BC58" s="1">
        <f t="shared" si="13"/>
        <v>3.1562461903973444</v>
      </c>
      <c r="BD58" s="1">
        <f t="shared" si="13"/>
        <v>3.3059958827708047</v>
      </c>
      <c r="BE58" s="1">
        <f t="shared" si="13"/>
        <v>3.7721015692770119</v>
      </c>
      <c r="BF58" s="1">
        <f t="shared" si="13"/>
        <v>3.4937368022768398</v>
      </c>
      <c r="BG58" s="1">
        <f t="shared" si="13"/>
        <v>3.3199384399803087</v>
      </c>
      <c r="BH58" s="1">
        <f t="shared" si="13"/>
        <v>3.7019994748896368</v>
      </c>
      <c r="BI58" s="1">
        <f t="shared" si="13"/>
        <v>3.3042750504771283</v>
      </c>
      <c r="BJ58" s="1">
        <f t="shared" si="13"/>
        <v>3.0751818546186915</v>
      </c>
      <c r="BK58" s="1">
        <f t="shared" si="13"/>
        <v>3.0265332645232967</v>
      </c>
      <c r="BL58" s="1">
        <f t="shared" si="13"/>
        <v>3.8869980456710995</v>
      </c>
      <c r="BM58" s="1">
        <f t="shared" si="13"/>
        <v>3.2716093013788319</v>
      </c>
      <c r="BN58" s="1">
        <f t="shared" ref="BN58:BT60" si="14">LOG(BN27+1)</f>
        <v>4.2909023328937446</v>
      </c>
      <c r="BO58" s="1">
        <f t="shared" si="14"/>
        <v>2.8639173769578603</v>
      </c>
      <c r="BP58" s="1">
        <f t="shared" si="14"/>
        <v>3.7227161674884948</v>
      </c>
      <c r="BQ58" s="1">
        <f t="shared" si="14"/>
        <v>3.4101020766428607</v>
      </c>
      <c r="BR58" s="1">
        <f t="shared" si="14"/>
        <v>2.6283889300503116</v>
      </c>
      <c r="BS58" s="1">
        <f t="shared" si="14"/>
        <v>3.2835273648616936</v>
      </c>
      <c r="BT58" s="1">
        <f t="shared" si="14"/>
        <v>3.1319392952104246</v>
      </c>
    </row>
    <row r="59" spans="1:72" x14ac:dyDescent="0.25">
      <c r="A59" s="2" t="s">
        <v>100</v>
      </c>
      <c r="B59" s="1">
        <f t="shared" si="2"/>
        <v>2.7520484478194387</v>
      </c>
      <c r="C59" s="1">
        <f t="shared" ref="C59:BN60" si="15">LOG(C28+1)</f>
        <v>3.9098233696509119</v>
      </c>
      <c r="D59" s="1">
        <f t="shared" si="15"/>
        <v>4.2137567524064838</v>
      </c>
      <c r="E59" s="1">
        <f t="shared" si="15"/>
        <v>3.2054750367408911</v>
      </c>
      <c r="F59" s="1">
        <f t="shared" si="15"/>
        <v>4.3209974167942207</v>
      </c>
      <c r="G59" s="1">
        <f t="shared" si="15"/>
        <v>3.2234959409623944</v>
      </c>
      <c r="H59" s="1">
        <f t="shared" si="15"/>
        <v>2.2430380486862944</v>
      </c>
      <c r="I59" s="1">
        <f t="shared" si="15"/>
        <v>3.4616485680634552</v>
      </c>
      <c r="J59" s="1">
        <f t="shared" si="15"/>
        <v>3.7854010249923875</v>
      </c>
      <c r="K59" s="1">
        <f t="shared" si="15"/>
        <v>2.667452952889954</v>
      </c>
      <c r="L59" s="1">
        <f t="shared" si="15"/>
        <v>3.1020905255118367</v>
      </c>
      <c r="M59" s="1">
        <f t="shared" si="15"/>
        <v>3.003029470553618</v>
      </c>
      <c r="N59" s="1">
        <f t="shared" si="15"/>
        <v>3.1872386198314788</v>
      </c>
      <c r="O59" s="1">
        <f t="shared" si="15"/>
        <v>2.9537596917332287</v>
      </c>
      <c r="P59" s="1">
        <f t="shared" si="15"/>
        <v>3.1041455505540081</v>
      </c>
      <c r="Q59" s="1">
        <f t="shared" si="15"/>
        <v>2.2227164711475833</v>
      </c>
      <c r="R59" s="1">
        <f t="shared" si="15"/>
        <v>2.9925535178321354</v>
      </c>
      <c r="S59" s="1">
        <f t="shared" si="15"/>
        <v>2.3891660843645326</v>
      </c>
      <c r="T59" s="1">
        <f t="shared" si="15"/>
        <v>3.2432861460834461</v>
      </c>
      <c r="U59" s="1">
        <f t="shared" si="15"/>
        <v>2.786041210242554</v>
      </c>
      <c r="V59" s="1">
        <f t="shared" si="15"/>
        <v>2.9370161074648142</v>
      </c>
      <c r="W59" s="1">
        <f t="shared" si="15"/>
        <v>3.6118294794983736</v>
      </c>
      <c r="X59" s="1">
        <f t="shared" si="15"/>
        <v>3.3630475945210936</v>
      </c>
      <c r="Y59" s="1">
        <f t="shared" si="15"/>
        <v>3.5835388192543522</v>
      </c>
      <c r="Z59" s="1">
        <f t="shared" si="15"/>
        <v>3.2501759480839252</v>
      </c>
      <c r="AA59" s="1">
        <f t="shared" si="15"/>
        <v>2.2329961103921536</v>
      </c>
      <c r="AB59" s="1">
        <f t="shared" si="15"/>
        <v>3.976304116552003</v>
      </c>
      <c r="AC59" s="1">
        <f t="shared" si="15"/>
        <v>4.0623939372531952</v>
      </c>
      <c r="AD59" s="1">
        <f t="shared" si="15"/>
        <v>2.4638929889859074</v>
      </c>
      <c r="AE59" s="1">
        <f t="shared" si="15"/>
        <v>2.8802417758954801</v>
      </c>
      <c r="AF59" s="1">
        <f t="shared" si="15"/>
        <v>2.7299742856995555</v>
      </c>
      <c r="AG59" s="1">
        <f t="shared" si="15"/>
        <v>3.7135745377720699</v>
      </c>
      <c r="AH59" s="1">
        <f t="shared" si="15"/>
        <v>3.9636461864848433</v>
      </c>
      <c r="AI59" s="1">
        <f t="shared" si="15"/>
        <v>4.0756564335979339</v>
      </c>
      <c r="AJ59" s="1">
        <f t="shared" si="15"/>
        <v>2.9772662124272928</v>
      </c>
      <c r="AK59" s="1">
        <f t="shared" si="15"/>
        <v>2.8331471119127851</v>
      </c>
      <c r="AL59" s="1">
        <f t="shared" si="15"/>
        <v>2.4899584794248346</v>
      </c>
      <c r="AM59" s="1">
        <f t="shared" si="15"/>
        <v>2.9670797341444972</v>
      </c>
      <c r="AN59" s="1">
        <f t="shared" si="15"/>
        <v>3.2065560440990297</v>
      </c>
      <c r="AO59" s="1">
        <f t="shared" si="15"/>
        <v>2.7745169657285498</v>
      </c>
      <c r="AP59" s="1">
        <f t="shared" si="15"/>
        <v>2.7032913781186614</v>
      </c>
      <c r="AQ59" s="1">
        <f t="shared" si="15"/>
        <v>3.04883008652835</v>
      </c>
      <c r="AR59" s="1">
        <f t="shared" si="15"/>
        <v>3.9227773419287977</v>
      </c>
      <c r="AS59" s="1">
        <f t="shared" si="15"/>
        <v>3.5136170737878749</v>
      </c>
      <c r="AT59" s="1">
        <f t="shared" si="15"/>
        <v>3.2347702951609163</v>
      </c>
      <c r="AU59" s="1">
        <f t="shared" si="15"/>
        <v>3.539452491549461</v>
      </c>
      <c r="AV59" s="1">
        <f t="shared" si="15"/>
        <v>2.5550944485783194</v>
      </c>
      <c r="AW59" s="1">
        <f t="shared" si="15"/>
        <v>3.0141003215196207</v>
      </c>
      <c r="AX59" s="1">
        <f t="shared" si="15"/>
        <v>2.5118833609788744</v>
      </c>
      <c r="AY59" s="1">
        <f t="shared" si="15"/>
        <v>0.69897000433601886</v>
      </c>
      <c r="AZ59" s="1">
        <f t="shared" si="15"/>
        <v>2.9943171526696366</v>
      </c>
      <c r="BA59" s="1">
        <f t="shared" si="15"/>
        <v>2.2380461031287955</v>
      </c>
      <c r="BB59" s="1">
        <f t="shared" si="15"/>
        <v>2.8790958795000727</v>
      </c>
      <c r="BC59" s="1">
        <f t="shared" si="15"/>
        <v>2.9390197764486663</v>
      </c>
      <c r="BD59" s="1">
        <f t="shared" si="15"/>
        <v>3.04883008652835</v>
      </c>
      <c r="BE59" s="1">
        <f t="shared" si="15"/>
        <v>3.2432861460834461</v>
      </c>
      <c r="BF59" s="1">
        <f t="shared" si="15"/>
        <v>3.2422929049829308</v>
      </c>
      <c r="BG59" s="1">
        <f t="shared" si="15"/>
        <v>3.1020905255118367</v>
      </c>
      <c r="BH59" s="1">
        <f t="shared" si="15"/>
        <v>3.4679039465228003</v>
      </c>
      <c r="BI59" s="1">
        <f t="shared" si="15"/>
        <v>2.3673559210260189</v>
      </c>
      <c r="BJ59" s="1">
        <f t="shared" si="15"/>
        <v>2.4393326938302629</v>
      </c>
      <c r="BK59" s="1">
        <f t="shared" si="15"/>
        <v>3.2540644529143381</v>
      </c>
      <c r="BL59" s="1">
        <f t="shared" si="15"/>
        <v>2.8733206018153989</v>
      </c>
      <c r="BM59" s="1">
        <f t="shared" si="15"/>
        <v>2.7168377232995247</v>
      </c>
      <c r="BN59" s="1">
        <f t="shared" si="15"/>
        <v>3.2214142378423385</v>
      </c>
      <c r="BO59" s="1">
        <f t="shared" si="14"/>
        <v>2.9818186071706636</v>
      </c>
      <c r="BP59" s="1">
        <f t="shared" si="14"/>
        <v>3.5549734583332397</v>
      </c>
      <c r="BQ59" s="1">
        <f t="shared" si="14"/>
        <v>2.9278834103307068</v>
      </c>
      <c r="BR59" s="1">
        <f t="shared" si="14"/>
        <v>2.4871383754771865</v>
      </c>
      <c r="BS59" s="1">
        <f t="shared" si="14"/>
        <v>3.1254812657005941</v>
      </c>
      <c r="BT59" s="1">
        <f t="shared" si="14"/>
        <v>3.2407987711173312</v>
      </c>
    </row>
    <row r="60" spans="1:72" x14ac:dyDescent="0.25">
      <c r="A60" s="2" t="s">
        <v>101</v>
      </c>
      <c r="B60" s="1">
        <f t="shared" si="2"/>
        <v>2.5453071164658239</v>
      </c>
      <c r="C60" s="1">
        <f t="shared" si="15"/>
        <v>3.7863964613723042</v>
      </c>
      <c r="D60" s="1">
        <f t="shared" si="15"/>
        <v>3.9619428831413872</v>
      </c>
      <c r="E60" s="1">
        <f t="shared" si="15"/>
        <v>2.6857417386022635</v>
      </c>
      <c r="F60" s="1">
        <f t="shared" si="15"/>
        <v>3.8131137540078988</v>
      </c>
      <c r="G60" s="1">
        <f t="shared" si="15"/>
        <v>2.4899584794248346</v>
      </c>
      <c r="H60" s="1">
        <f t="shared" si="15"/>
        <v>2.1789769472931693</v>
      </c>
      <c r="I60" s="1">
        <f t="shared" si="15"/>
        <v>3.0409976924234905</v>
      </c>
      <c r="J60" s="1">
        <f t="shared" si="15"/>
        <v>3.9469923407483725</v>
      </c>
      <c r="K60" s="1">
        <f t="shared" si="15"/>
        <v>2.9633155113861114</v>
      </c>
      <c r="L60" s="1">
        <f t="shared" si="15"/>
        <v>2.8494194137968996</v>
      </c>
      <c r="M60" s="1">
        <f t="shared" si="15"/>
        <v>2.5921767573958667</v>
      </c>
      <c r="N60" s="1">
        <f t="shared" si="15"/>
        <v>2.4297522800024081</v>
      </c>
      <c r="O60" s="1">
        <f t="shared" si="15"/>
        <v>3.5609820555862353</v>
      </c>
      <c r="P60" s="1">
        <f t="shared" si="15"/>
        <v>2.406540180433955</v>
      </c>
      <c r="Q60" s="1">
        <f t="shared" si="15"/>
        <v>1.8260748027008264</v>
      </c>
      <c r="R60" s="1">
        <f t="shared" si="15"/>
        <v>2.7902851640332416</v>
      </c>
      <c r="S60" s="1">
        <f t="shared" si="15"/>
        <v>1.9777236052888478</v>
      </c>
      <c r="T60" s="1">
        <f t="shared" si="15"/>
        <v>2.7686381012476144</v>
      </c>
      <c r="U60" s="1">
        <f t="shared" si="15"/>
        <v>2.4955443375464483</v>
      </c>
      <c r="V60" s="1">
        <f t="shared" si="15"/>
        <v>3.5039268041935103</v>
      </c>
      <c r="W60" s="1">
        <f t="shared" si="15"/>
        <v>3.7835462822703496</v>
      </c>
      <c r="X60" s="1">
        <f t="shared" si="15"/>
        <v>2.7986506454452691</v>
      </c>
      <c r="Y60" s="1">
        <f t="shared" si="15"/>
        <v>2.828015064223977</v>
      </c>
      <c r="Z60" s="1">
        <f t="shared" si="15"/>
        <v>2.5352941200427703</v>
      </c>
      <c r="AA60" s="1">
        <f t="shared" si="15"/>
        <v>1.7075701760979363</v>
      </c>
      <c r="AB60" s="1">
        <f t="shared" si="15"/>
        <v>2.9153998352122699</v>
      </c>
      <c r="AC60" s="1">
        <f t="shared" si="15"/>
        <v>2.965201701025912</v>
      </c>
      <c r="AD60" s="1">
        <f t="shared" si="15"/>
        <v>1.8750612633917001</v>
      </c>
      <c r="AE60" s="1">
        <f t="shared" si="15"/>
        <v>2.143014800254095</v>
      </c>
      <c r="AF60" s="1">
        <f t="shared" si="15"/>
        <v>2.3242824552976926</v>
      </c>
      <c r="AG60" s="1">
        <f t="shared" si="15"/>
        <v>3.0534626049254552</v>
      </c>
      <c r="AH60" s="1">
        <f t="shared" si="15"/>
        <v>3.3042750504771283</v>
      </c>
      <c r="AI60" s="1">
        <f t="shared" si="15"/>
        <v>3.2397998184470986</v>
      </c>
      <c r="AJ60" s="1">
        <f t="shared" si="15"/>
        <v>2.7803173121401512</v>
      </c>
      <c r="AK60" s="1">
        <f t="shared" si="15"/>
        <v>1.8750612633917001</v>
      </c>
      <c r="AL60" s="1">
        <f t="shared" si="15"/>
        <v>2.436162647040756</v>
      </c>
      <c r="AM60" s="1">
        <f t="shared" si="15"/>
        <v>2.661812685537261</v>
      </c>
      <c r="AN60" s="1">
        <f t="shared" si="15"/>
        <v>3.6500159524718385</v>
      </c>
      <c r="AO60" s="1">
        <f t="shared" si="15"/>
        <v>1.6720978579357175</v>
      </c>
      <c r="AP60" s="1">
        <f t="shared" si="15"/>
        <v>2.0211892990699383</v>
      </c>
      <c r="AQ60" s="1">
        <f t="shared" si="15"/>
        <v>3.2785249647370174</v>
      </c>
      <c r="AR60" s="1">
        <f t="shared" si="15"/>
        <v>2.8948696567452528</v>
      </c>
      <c r="AS60" s="1">
        <f t="shared" si="15"/>
        <v>3.8043439184798657</v>
      </c>
      <c r="AT60" s="1">
        <f t="shared" si="15"/>
        <v>4.3363996889860834</v>
      </c>
      <c r="AU60" s="1">
        <f t="shared" si="15"/>
        <v>4.0580082327154026</v>
      </c>
      <c r="AV60" s="1">
        <f t="shared" si="15"/>
        <v>2.3560258571931225</v>
      </c>
      <c r="AW60" s="1">
        <f t="shared" si="15"/>
        <v>3.9815014881482469</v>
      </c>
      <c r="AX60" s="1">
        <f t="shared" si="15"/>
        <v>3.1195857749617839</v>
      </c>
      <c r="AY60" s="1">
        <f t="shared" si="15"/>
        <v>1.6901960800285136</v>
      </c>
      <c r="AZ60" s="1">
        <f t="shared" si="15"/>
        <v>2.0374264979406238</v>
      </c>
      <c r="BA60" s="1">
        <f t="shared" si="15"/>
        <v>2.6009728956867484</v>
      </c>
      <c r="BB60" s="1">
        <f t="shared" si="15"/>
        <v>3.2669369111591728</v>
      </c>
      <c r="BC60" s="1">
        <f t="shared" si="15"/>
        <v>2.6928469192772302</v>
      </c>
      <c r="BD60" s="1">
        <f t="shared" si="15"/>
        <v>2.6946051989335689</v>
      </c>
      <c r="BE60" s="1">
        <f t="shared" si="15"/>
        <v>3.0157787563890408</v>
      </c>
      <c r="BF60" s="1">
        <f t="shared" si="15"/>
        <v>3.4940153747571436</v>
      </c>
      <c r="BG60" s="1">
        <f t="shared" si="15"/>
        <v>2.8305886686851442</v>
      </c>
      <c r="BH60" s="1">
        <f t="shared" si="15"/>
        <v>3.2636360685881081</v>
      </c>
      <c r="BI60" s="1">
        <f t="shared" si="15"/>
        <v>2.7067177823367587</v>
      </c>
      <c r="BJ60" s="1">
        <f t="shared" si="15"/>
        <v>2.8382192219076257</v>
      </c>
      <c r="BK60" s="1">
        <f t="shared" si="15"/>
        <v>2.4578818967339924</v>
      </c>
      <c r="BL60" s="1">
        <f t="shared" si="15"/>
        <v>3.7118915498805789</v>
      </c>
      <c r="BM60" s="1">
        <f t="shared" si="15"/>
        <v>2.1789769472931693</v>
      </c>
      <c r="BN60" s="1">
        <f t="shared" si="15"/>
        <v>4.2266772207845555</v>
      </c>
      <c r="BO60" s="1">
        <f t="shared" si="14"/>
        <v>2.8241258339165491</v>
      </c>
      <c r="BP60" s="1">
        <f t="shared" si="14"/>
        <v>3.7155855518931964</v>
      </c>
      <c r="BQ60" s="1">
        <f t="shared" si="14"/>
        <v>3.5112147011363879</v>
      </c>
      <c r="BR60" s="1">
        <f t="shared" si="14"/>
        <v>2.0755469613925306</v>
      </c>
      <c r="BS60" s="1">
        <f t="shared" si="14"/>
        <v>2.6222140229662951</v>
      </c>
      <c r="BT60" s="1">
        <f t="shared" si="14"/>
        <v>2.6404814369704219</v>
      </c>
    </row>
    <row r="62" spans="1:72" x14ac:dyDescent="0.25">
      <c r="A62" s="5" t="s">
        <v>127</v>
      </c>
      <c r="B62" s="5"/>
    </row>
  </sheetData>
  <conditionalFormatting sqref="B33:BT60">
    <cfRule type="colorScale" priority="1">
      <colorScale>
        <cfvo type="min"/>
        <cfvo type="max"/>
        <color theme="0"/>
        <color theme="8" tint="-0.499984740745262"/>
      </colorScale>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BB0A5-50E7-4E11-9158-5A530DE4B1ED}">
  <dimension ref="A1:F73"/>
  <sheetViews>
    <sheetView topLeftCell="A9" workbookViewId="0">
      <selection activeCell="A2" sqref="A2:A37"/>
    </sheetView>
  </sheetViews>
  <sheetFormatPr defaultRowHeight="15" x14ac:dyDescent="0.25"/>
  <cols>
    <col min="1" max="1" width="9.140625" style="4"/>
    <col min="2" max="3" width="26.5703125" style="6" bestFit="1" customWidth="1"/>
    <col min="4" max="5" width="28.7109375" style="6" bestFit="1" customWidth="1"/>
    <col min="6" max="6" width="18.5703125" style="6" bestFit="1" customWidth="1"/>
  </cols>
  <sheetData>
    <row r="1" spans="1:6" s="4" customFormat="1" x14ac:dyDescent="0.25">
      <c r="A1" s="4" t="s">
        <v>120</v>
      </c>
      <c r="B1" s="7" t="s">
        <v>137</v>
      </c>
      <c r="C1" s="7" t="s">
        <v>138</v>
      </c>
      <c r="D1" s="7" t="s">
        <v>148</v>
      </c>
      <c r="E1" s="7" t="s">
        <v>149</v>
      </c>
      <c r="F1" s="7" t="s">
        <v>150</v>
      </c>
    </row>
    <row r="2" spans="1:6" x14ac:dyDescent="0.25">
      <c r="A2" s="4" t="s">
        <v>7</v>
      </c>
      <c r="B2" s="6">
        <v>1</v>
      </c>
      <c r="C2" s="6">
        <v>1</v>
      </c>
      <c r="D2" s="6">
        <v>1</v>
      </c>
      <c r="E2" s="6">
        <v>1</v>
      </c>
      <c r="F2" s="6" t="s">
        <v>151</v>
      </c>
    </row>
    <row r="3" spans="1:6" x14ac:dyDescent="0.25">
      <c r="A3" s="4" t="s">
        <v>26</v>
      </c>
      <c r="B3" s="6">
        <v>1</v>
      </c>
      <c r="C3" s="6">
        <v>1</v>
      </c>
      <c r="D3" s="6">
        <v>1</v>
      </c>
      <c r="E3" s="6">
        <v>1</v>
      </c>
      <c r="F3" s="6" t="s">
        <v>151</v>
      </c>
    </row>
    <row r="4" spans="1:6" x14ac:dyDescent="0.25">
      <c r="A4" s="4" t="s">
        <v>60</v>
      </c>
      <c r="B4" s="6">
        <v>1</v>
      </c>
      <c r="C4" s="6">
        <v>1</v>
      </c>
      <c r="D4" s="6">
        <v>1</v>
      </c>
      <c r="E4" s="6">
        <v>1</v>
      </c>
      <c r="F4" s="6" t="s">
        <v>151</v>
      </c>
    </row>
    <row r="5" spans="1:6" x14ac:dyDescent="0.25">
      <c r="A5" s="4" t="s">
        <v>9</v>
      </c>
      <c r="B5" s="6">
        <v>1</v>
      </c>
      <c r="C5" s="6">
        <v>1</v>
      </c>
      <c r="D5" s="6">
        <v>0</v>
      </c>
      <c r="E5" s="6">
        <v>0</v>
      </c>
      <c r="F5" s="6" t="s">
        <v>151</v>
      </c>
    </row>
    <row r="6" spans="1:6" x14ac:dyDescent="0.25">
      <c r="A6" s="4" t="s">
        <v>10</v>
      </c>
      <c r="B6" s="6">
        <v>1</v>
      </c>
      <c r="C6" s="6">
        <v>1</v>
      </c>
      <c r="D6" s="6">
        <v>0</v>
      </c>
      <c r="E6" s="6">
        <v>0</v>
      </c>
      <c r="F6" s="6" t="s">
        <v>151</v>
      </c>
    </row>
    <row r="7" spans="1:6" x14ac:dyDescent="0.25">
      <c r="A7" s="4" t="s">
        <v>14</v>
      </c>
      <c r="B7" s="6">
        <v>1</v>
      </c>
      <c r="C7" s="6">
        <v>1</v>
      </c>
      <c r="D7" s="6">
        <v>0</v>
      </c>
      <c r="E7" s="6">
        <v>0</v>
      </c>
      <c r="F7" s="6" t="s">
        <v>151</v>
      </c>
    </row>
    <row r="8" spans="1:6" x14ac:dyDescent="0.25">
      <c r="A8" s="4" t="s">
        <v>18</v>
      </c>
      <c r="B8" s="6">
        <v>1</v>
      </c>
      <c r="C8" s="6">
        <v>1</v>
      </c>
      <c r="D8" s="6">
        <v>0</v>
      </c>
      <c r="E8" s="6">
        <v>0</v>
      </c>
      <c r="F8" s="6" t="s">
        <v>151</v>
      </c>
    </row>
    <row r="9" spans="1:6" x14ac:dyDescent="0.25">
      <c r="A9" s="4" t="s">
        <v>30</v>
      </c>
      <c r="B9" s="6">
        <v>1</v>
      </c>
      <c r="C9" s="6">
        <v>1</v>
      </c>
      <c r="D9" s="6">
        <v>0</v>
      </c>
      <c r="E9" s="6">
        <v>0</v>
      </c>
      <c r="F9" s="6" t="s">
        <v>151</v>
      </c>
    </row>
    <row r="10" spans="1:6" x14ac:dyDescent="0.25">
      <c r="A10" s="4" t="s">
        <v>36</v>
      </c>
      <c r="B10" s="6">
        <v>1</v>
      </c>
      <c r="C10" s="6">
        <v>1</v>
      </c>
      <c r="D10" s="6">
        <v>0</v>
      </c>
      <c r="E10" s="6">
        <v>0</v>
      </c>
      <c r="F10" s="6" t="s">
        <v>151</v>
      </c>
    </row>
    <row r="11" spans="1:6" x14ac:dyDescent="0.25">
      <c r="A11" s="4" t="s">
        <v>37</v>
      </c>
      <c r="B11" s="6">
        <v>1</v>
      </c>
      <c r="C11" s="6">
        <v>1</v>
      </c>
      <c r="D11" s="6">
        <v>0</v>
      </c>
      <c r="E11" s="6">
        <v>0</v>
      </c>
      <c r="F11" s="6" t="s">
        <v>151</v>
      </c>
    </row>
    <row r="12" spans="1:6" x14ac:dyDescent="0.25">
      <c r="A12" s="4" t="s">
        <v>38</v>
      </c>
      <c r="B12" s="6">
        <v>1</v>
      </c>
      <c r="C12" s="6">
        <v>1</v>
      </c>
      <c r="D12" s="6">
        <v>0</v>
      </c>
      <c r="E12" s="6">
        <v>0</v>
      </c>
      <c r="F12" s="6" t="s">
        <v>151</v>
      </c>
    </row>
    <row r="13" spans="1:6" x14ac:dyDescent="0.25">
      <c r="A13" s="4" t="s">
        <v>39</v>
      </c>
      <c r="B13" s="6">
        <v>1</v>
      </c>
      <c r="C13" s="6">
        <v>1</v>
      </c>
      <c r="D13" s="6">
        <v>0</v>
      </c>
      <c r="E13" s="6">
        <v>0</v>
      </c>
      <c r="F13" s="6" t="s">
        <v>151</v>
      </c>
    </row>
    <row r="14" spans="1:6" x14ac:dyDescent="0.25">
      <c r="A14" s="4" t="s">
        <v>40</v>
      </c>
      <c r="B14" s="6">
        <v>1</v>
      </c>
      <c r="C14" s="6">
        <v>1</v>
      </c>
      <c r="D14" s="6">
        <v>0</v>
      </c>
      <c r="E14" s="6">
        <v>0</v>
      </c>
      <c r="F14" s="6" t="s">
        <v>151</v>
      </c>
    </row>
    <row r="15" spans="1:6" x14ac:dyDescent="0.25">
      <c r="A15" s="4" t="s">
        <v>41</v>
      </c>
      <c r="B15" s="6">
        <v>1</v>
      </c>
      <c r="C15" s="6">
        <v>1</v>
      </c>
      <c r="D15" s="6">
        <v>0</v>
      </c>
      <c r="E15" s="6">
        <v>0</v>
      </c>
      <c r="F15" s="6" t="s">
        <v>151</v>
      </c>
    </row>
    <row r="16" spans="1:6" x14ac:dyDescent="0.25">
      <c r="A16" s="4" t="s">
        <v>42</v>
      </c>
      <c r="B16" s="6">
        <v>1</v>
      </c>
      <c r="C16" s="6">
        <v>1</v>
      </c>
      <c r="D16" s="6">
        <v>0</v>
      </c>
      <c r="E16" s="6">
        <v>0</v>
      </c>
      <c r="F16" s="6" t="s">
        <v>151</v>
      </c>
    </row>
    <row r="17" spans="1:6" x14ac:dyDescent="0.25">
      <c r="A17" s="4" t="s">
        <v>43</v>
      </c>
      <c r="B17" s="6">
        <v>1</v>
      </c>
      <c r="C17" s="6">
        <v>1</v>
      </c>
      <c r="D17" s="6">
        <v>0</v>
      </c>
      <c r="E17" s="6">
        <v>0</v>
      </c>
      <c r="F17" s="6" t="s">
        <v>151</v>
      </c>
    </row>
    <row r="18" spans="1:6" x14ac:dyDescent="0.25">
      <c r="A18" s="4" t="s">
        <v>48</v>
      </c>
      <c r="B18" s="6">
        <v>1</v>
      </c>
      <c r="C18" s="6">
        <v>1</v>
      </c>
      <c r="D18" s="6">
        <v>0</v>
      </c>
      <c r="E18" s="6">
        <v>0</v>
      </c>
      <c r="F18" s="6" t="s">
        <v>151</v>
      </c>
    </row>
    <row r="19" spans="1:6" x14ac:dyDescent="0.25">
      <c r="A19" s="4" t="s">
        <v>50</v>
      </c>
      <c r="B19" s="6">
        <v>1</v>
      </c>
      <c r="C19" s="6">
        <v>1</v>
      </c>
      <c r="D19" s="6">
        <v>0</v>
      </c>
      <c r="E19" s="6">
        <v>0</v>
      </c>
      <c r="F19" s="6" t="s">
        <v>151</v>
      </c>
    </row>
    <row r="20" spans="1:6" x14ac:dyDescent="0.25">
      <c r="A20" s="4" t="s">
        <v>51</v>
      </c>
      <c r="B20" s="6">
        <v>1</v>
      </c>
      <c r="C20" s="6">
        <v>1</v>
      </c>
      <c r="D20" s="6">
        <v>0</v>
      </c>
      <c r="E20" s="6">
        <v>0</v>
      </c>
      <c r="F20" s="6" t="s">
        <v>151</v>
      </c>
    </row>
    <row r="21" spans="1:6" x14ac:dyDescent="0.25">
      <c r="A21" s="4" t="s">
        <v>52</v>
      </c>
      <c r="B21" s="6">
        <v>1</v>
      </c>
      <c r="C21" s="6">
        <v>1</v>
      </c>
      <c r="D21" s="6">
        <v>0</v>
      </c>
      <c r="E21" s="6">
        <v>0</v>
      </c>
      <c r="F21" s="6" t="s">
        <v>151</v>
      </c>
    </row>
    <row r="22" spans="1:6" x14ac:dyDescent="0.25">
      <c r="A22" s="4" t="s">
        <v>53</v>
      </c>
      <c r="B22" s="6">
        <v>1</v>
      </c>
      <c r="C22" s="6">
        <v>1</v>
      </c>
      <c r="D22" s="6">
        <v>0</v>
      </c>
      <c r="E22" s="6">
        <v>0</v>
      </c>
      <c r="F22" s="6" t="s">
        <v>151</v>
      </c>
    </row>
    <row r="23" spans="1:6" x14ac:dyDescent="0.25">
      <c r="A23" s="4" t="s">
        <v>62</v>
      </c>
      <c r="B23" s="6">
        <v>1</v>
      </c>
      <c r="C23" s="6">
        <v>1</v>
      </c>
      <c r="D23" s="6">
        <v>0</v>
      </c>
      <c r="E23" s="6">
        <v>0</v>
      </c>
      <c r="F23" s="6" t="s">
        <v>151</v>
      </c>
    </row>
    <row r="24" spans="1:6" x14ac:dyDescent="0.25">
      <c r="A24" s="4" t="s">
        <v>63</v>
      </c>
      <c r="B24" s="6">
        <v>1</v>
      </c>
      <c r="C24" s="6">
        <v>1</v>
      </c>
      <c r="D24" s="6">
        <v>0</v>
      </c>
      <c r="E24" s="6">
        <v>0</v>
      </c>
      <c r="F24" s="6" t="s">
        <v>151</v>
      </c>
    </row>
    <row r="25" spans="1:6" x14ac:dyDescent="0.25">
      <c r="A25" s="4" t="s">
        <v>5</v>
      </c>
      <c r="B25" s="6">
        <v>1</v>
      </c>
      <c r="C25" s="6">
        <v>0</v>
      </c>
      <c r="D25" s="6">
        <v>0</v>
      </c>
      <c r="E25" s="6">
        <v>0</v>
      </c>
      <c r="F25" s="6" t="s">
        <v>151</v>
      </c>
    </row>
    <row r="26" spans="1:6" x14ac:dyDescent="0.25">
      <c r="A26" s="4" t="s">
        <v>16</v>
      </c>
      <c r="B26" s="6">
        <v>1</v>
      </c>
      <c r="C26" s="6">
        <v>0</v>
      </c>
      <c r="D26" s="6">
        <v>0</v>
      </c>
      <c r="E26" s="6">
        <v>0</v>
      </c>
      <c r="F26" s="6" t="s">
        <v>151</v>
      </c>
    </row>
    <row r="27" spans="1:6" x14ac:dyDescent="0.25">
      <c r="A27" s="4" t="s">
        <v>25</v>
      </c>
      <c r="B27" s="6">
        <v>1</v>
      </c>
      <c r="C27" s="6">
        <v>0</v>
      </c>
      <c r="D27" s="6">
        <v>0</v>
      </c>
      <c r="E27" s="6">
        <v>0</v>
      </c>
      <c r="F27" s="6" t="s">
        <v>151</v>
      </c>
    </row>
    <row r="28" spans="1:6" x14ac:dyDescent="0.25">
      <c r="A28" s="4" t="s">
        <v>29</v>
      </c>
      <c r="B28" s="6">
        <v>1</v>
      </c>
      <c r="C28" s="6">
        <v>0</v>
      </c>
      <c r="D28" s="6">
        <v>0</v>
      </c>
      <c r="E28" s="6">
        <v>0</v>
      </c>
      <c r="F28" s="6" t="s">
        <v>151</v>
      </c>
    </row>
    <row r="29" spans="1:6" x14ac:dyDescent="0.25">
      <c r="A29" s="4" t="s">
        <v>31</v>
      </c>
      <c r="B29" s="6">
        <v>1</v>
      </c>
      <c r="C29" s="6">
        <v>0</v>
      </c>
      <c r="D29" s="6">
        <v>0</v>
      </c>
      <c r="E29" s="6">
        <v>0</v>
      </c>
      <c r="F29" s="6" t="s">
        <v>151</v>
      </c>
    </row>
    <row r="30" spans="1:6" x14ac:dyDescent="0.25">
      <c r="A30" s="4" t="s">
        <v>45</v>
      </c>
      <c r="B30" s="6">
        <v>1</v>
      </c>
      <c r="C30" s="6">
        <v>0</v>
      </c>
      <c r="D30" s="6">
        <v>0</v>
      </c>
      <c r="E30" s="6">
        <v>0</v>
      </c>
      <c r="F30" s="6" t="s">
        <v>151</v>
      </c>
    </row>
    <row r="31" spans="1:6" x14ac:dyDescent="0.25">
      <c r="A31" s="4" t="s">
        <v>49</v>
      </c>
      <c r="B31" s="6">
        <v>1</v>
      </c>
      <c r="C31" s="6">
        <v>0</v>
      </c>
      <c r="D31" s="6">
        <v>0</v>
      </c>
      <c r="E31" s="6">
        <v>0</v>
      </c>
      <c r="F31" s="6" t="s">
        <v>151</v>
      </c>
    </row>
    <row r="32" spans="1:6" x14ac:dyDescent="0.25">
      <c r="A32" s="4" t="s">
        <v>58</v>
      </c>
      <c r="B32" s="6">
        <v>1</v>
      </c>
      <c r="C32" s="6">
        <v>0</v>
      </c>
      <c r="D32" s="6">
        <v>0</v>
      </c>
      <c r="E32" s="6">
        <v>0</v>
      </c>
      <c r="F32" s="6" t="s">
        <v>151</v>
      </c>
    </row>
    <row r="33" spans="1:6" x14ac:dyDescent="0.25">
      <c r="A33" s="4" t="s">
        <v>61</v>
      </c>
      <c r="B33" s="6">
        <v>1</v>
      </c>
      <c r="C33" s="6">
        <v>0</v>
      </c>
      <c r="D33" s="6">
        <v>0</v>
      </c>
      <c r="E33" s="6">
        <v>0</v>
      </c>
      <c r="F33" s="6" t="s">
        <v>151</v>
      </c>
    </row>
    <row r="34" spans="1:6" x14ac:dyDescent="0.25">
      <c r="A34" s="4" t="s">
        <v>46</v>
      </c>
      <c r="B34" s="6">
        <v>0</v>
      </c>
      <c r="C34" s="6">
        <v>1</v>
      </c>
      <c r="D34" s="6">
        <v>0</v>
      </c>
      <c r="E34" s="6">
        <v>0</v>
      </c>
      <c r="F34" s="6" t="s">
        <v>151</v>
      </c>
    </row>
    <row r="35" spans="1:6" x14ac:dyDescent="0.25">
      <c r="A35" s="4" t="s">
        <v>70</v>
      </c>
      <c r="B35" s="6">
        <v>0</v>
      </c>
      <c r="C35" s="6">
        <v>1</v>
      </c>
      <c r="D35" s="6">
        <v>0</v>
      </c>
      <c r="E35" s="6">
        <v>0</v>
      </c>
      <c r="F35" s="6" t="s">
        <v>151</v>
      </c>
    </row>
    <row r="36" spans="1:6" x14ac:dyDescent="0.25">
      <c r="A36" s="4" t="s">
        <v>15</v>
      </c>
      <c r="B36" s="6">
        <v>0</v>
      </c>
      <c r="C36" s="6">
        <v>0</v>
      </c>
      <c r="D36" s="6">
        <v>1</v>
      </c>
      <c r="E36" s="6">
        <v>1</v>
      </c>
      <c r="F36" s="6" t="s">
        <v>151</v>
      </c>
    </row>
    <row r="37" spans="1:6" x14ac:dyDescent="0.25">
      <c r="A37" s="4" t="s">
        <v>54</v>
      </c>
      <c r="B37" s="6">
        <v>0</v>
      </c>
      <c r="C37" s="6">
        <v>0</v>
      </c>
      <c r="D37" s="6">
        <v>1</v>
      </c>
      <c r="E37" s="6">
        <v>1</v>
      </c>
      <c r="F37" s="6" t="s">
        <v>151</v>
      </c>
    </row>
    <row r="38" spans="1:6" x14ac:dyDescent="0.25">
      <c r="A38" s="4" t="s">
        <v>1</v>
      </c>
      <c r="B38" s="6">
        <v>0</v>
      </c>
      <c r="C38" s="6">
        <v>0</v>
      </c>
      <c r="D38" s="6">
        <v>0</v>
      </c>
      <c r="E38" s="6">
        <v>0</v>
      </c>
      <c r="F38" s="6" t="s">
        <v>152</v>
      </c>
    </row>
    <row r="39" spans="1:6" x14ac:dyDescent="0.25">
      <c r="A39" s="4" t="s">
        <v>2</v>
      </c>
      <c r="B39" s="6">
        <v>0</v>
      </c>
      <c r="C39" s="6">
        <v>0</v>
      </c>
      <c r="D39" s="6">
        <v>0</v>
      </c>
      <c r="E39" s="6">
        <v>0</v>
      </c>
      <c r="F39" s="6" t="s">
        <v>152</v>
      </c>
    </row>
    <row r="40" spans="1:6" x14ac:dyDescent="0.25">
      <c r="A40" s="4" t="s">
        <v>3</v>
      </c>
      <c r="B40" s="6">
        <v>0</v>
      </c>
      <c r="C40" s="6">
        <v>0</v>
      </c>
      <c r="D40" s="6">
        <v>0</v>
      </c>
      <c r="E40" s="6">
        <v>0</v>
      </c>
      <c r="F40" s="6" t="s">
        <v>152</v>
      </c>
    </row>
    <row r="41" spans="1:6" x14ac:dyDescent="0.25">
      <c r="A41" s="4" t="s">
        <v>4</v>
      </c>
      <c r="B41" s="6">
        <v>0</v>
      </c>
      <c r="C41" s="6">
        <v>0</v>
      </c>
      <c r="D41" s="6">
        <v>0</v>
      </c>
      <c r="E41" s="6">
        <v>0</v>
      </c>
      <c r="F41" s="6" t="s">
        <v>152</v>
      </c>
    </row>
    <row r="42" spans="1:6" x14ac:dyDescent="0.25">
      <c r="A42" s="4" t="s">
        <v>6</v>
      </c>
      <c r="B42" s="6">
        <v>0</v>
      </c>
      <c r="C42" s="6">
        <v>0</v>
      </c>
      <c r="D42" s="6">
        <v>0</v>
      </c>
      <c r="E42" s="6">
        <v>0</v>
      </c>
      <c r="F42" s="6" t="s">
        <v>152</v>
      </c>
    </row>
    <row r="43" spans="1:6" x14ac:dyDescent="0.25">
      <c r="A43" s="4" t="s">
        <v>8</v>
      </c>
      <c r="B43" s="6">
        <v>0</v>
      </c>
      <c r="C43" s="6">
        <v>0</v>
      </c>
      <c r="D43" s="6">
        <v>0</v>
      </c>
      <c r="E43" s="6">
        <v>0</v>
      </c>
      <c r="F43" s="6" t="s">
        <v>152</v>
      </c>
    </row>
    <row r="44" spans="1:6" x14ac:dyDescent="0.25">
      <c r="A44" s="4" t="s">
        <v>11</v>
      </c>
      <c r="B44" s="6">
        <v>0</v>
      </c>
      <c r="C44" s="6">
        <v>0</v>
      </c>
      <c r="D44" s="6">
        <v>0</v>
      </c>
      <c r="E44" s="6">
        <v>0</v>
      </c>
      <c r="F44" s="6" t="s">
        <v>152</v>
      </c>
    </row>
    <row r="45" spans="1:6" x14ac:dyDescent="0.25">
      <c r="A45" s="4" t="s">
        <v>12</v>
      </c>
      <c r="B45" s="6">
        <v>0</v>
      </c>
      <c r="C45" s="6">
        <v>0</v>
      </c>
      <c r="D45" s="6">
        <v>0</v>
      </c>
      <c r="E45" s="6">
        <v>0</v>
      </c>
      <c r="F45" s="6" t="s">
        <v>152</v>
      </c>
    </row>
    <row r="46" spans="1:6" x14ac:dyDescent="0.25">
      <c r="A46" s="4" t="s">
        <v>13</v>
      </c>
      <c r="B46" s="6">
        <v>0</v>
      </c>
      <c r="C46" s="6">
        <v>0</v>
      </c>
      <c r="D46" s="6">
        <v>0</v>
      </c>
      <c r="E46" s="6">
        <v>0</v>
      </c>
      <c r="F46" s="6" t="s">
        <v>152</v>
      </c>
    </row>
    <row r="47" spans="1:6" x14ac:dyDescent="0.25">
      <c r="A47" s="4" t="s">
        <v>17</v>
      </c>
      <c r="B47" s="6">
        <v>0</v>
      </c>
      <c r="C47" s="6">
        <v>0</v>
      </c>
      <c r="D47" s="6">
        <v>0</v>
      </c>
      <c r="E47" s="6">
        <v>0</v>
      </c>
      <c r="F47" s="6" t="s">
        <v>152</v>
      </c>
    </row>
    <row r="48" spans="1:6" x14ac:dyDescent="0.25">
      <c r="A48" s="4" t="s">
        <v>19</v>
      </c>
      <c r="B48" s="6">
        <v>0</v>
      </c>
      <c r="C48" s="6">
        <v>0</v>
      </c>
      <c r="D48" s="6">
        <v>0</v>
      </c>
      <c r="E48" s="6">
        <v>0</v>
      </c>
      <c r="F48" s="6" t="s">
        <v>152</v>
      </c>
    </row>
    <row r="49" spans="1:6" x14ac:dyDescent="0.25">
      <c r="A49" s="4" t="s">
        <v>20</v>
      </c>
      <c r="B49" s="6">
        <v>0</v>
      </c>
      <c r="C49" s="6">
        <v>0</v>
      </c>
      <c r="D49" s="6">
        <v>0</v>
      </c>
      <c r="E49" s="6">
        <v>0</v>
      </c>
      <c r="F49" s="6" t="s">
        <v>152</v>
      </c>
    </row>
    <row r="50" spans="1:6" x14ac:dyDescent="0.25">
      <c r="A50" s="4" t="s">
        <v>21</v>
      </c>
      <c r="B50" s="6">
        <v>0</v>
      </c>
      <c r="C50" s="6">
        <v>0</v>
      </c>
      <c r="D50" s="6">
        <v>0</v>
      </c>
      <c r="E50" s="6">
        <v>0</v>
      </c>
      <c r="F50" s="6" t="s">
        <v>152</v>
      </c>
    </row>
    <row r="51" spans="1:6" x14ac:dyDescent="0.25">
      <c r="A51" s="4" t="s">
        <v>22</v>
      </c>
      <c r="B51" s="6">
        <v>0</v>
      </c>
      <c r="C51" s="6">
        <v>0</v>
      </c>
      <c r="D51" s="6">
        <v>0</v>
      </c>
      <c r="E51" s="6">
        <v>0</v>
      </c>
      <c r="F51" s="6" t="s">
        <v>152</v>
      </c>
    </row>
    <row r="52" spans="1:6" x14ac:dyDescent="0.25">
      <c r="A52" s="4" t="s">
        <v>23</v>
      </c>
      <c r="B52" s="6">
        <v>0</v>
      </c>
      <c r="C52" s="6">
        <v>0</v>
      </c>
      <c r="D52" s="6">
        <v>0</v>
      </c>
      <c r="E52" s="6">
        <v>0</v>
      </c>
      <c r="F52" s="6" t="s">
        <v>152</v>
      </c>
    </row>
    <row r="53" spans="1:6" x14ac:dyDescent="0.25">
      <c r="A53" s="4" t="s">
        <v>24</v>
      </c>
      <c r="B53" s="6">
        <v>0</v>
      </c>
      <c r="C53" s="6">
        <v>0</v>
      </c>
      <c r="D53" s="6">
        <v>0</v>
      </c>
      <c r="E53" s="6">
        <v>0</v>
      </c>
      <c r="F53" s="6" t="s">
        <v>152</v>
      </c>
    </row>
    <row r="54" spans="1:6" x14ac:dyDescent="0.25">
      <c r="A54" s="4" t="s">
        <v>27</v>
      </c>
      <c r="B54" s="6">
        <v>0</v>
      </c>
      <c r="C54" s="6">
        <v>0</v>
      </c>
      <c r="D54" s="6">
        <v>0</v>
      </c>
      <c r="E54" s="6">
        <v>0</v>
      </c>
      <c r="F54" s="6" t="s">
        <v>152</v>
      </c>
    </row>
    <row r="55" spans="1:6" x14ac:dyDescent="0.25">
      <c r="A55" s="4" t="s">
        <v>28</v>
      </c>
      <c r="B55" s="6">
        <v>0</v>
      </c>
      <c r="C55" s="6">
        <v>0</v>
      </c>
      <c r="D55" s="6">
        <v>0</v>
      </c>
      <c r="E55" s="6">
        <v>0</v>
      </c>
      <c r="F55" s="6" t="s">
        <v>152</v>
      </c>
    </row>
    <row r="56" spans="1:6" x14ac:dyDescent="0.25">
      <c r="A56" s="4" t="s">
        <v>32</v>
      </c>
      <c r="B56" s="6">
        <v>0</v>
      </c>
      <c r="C56" s="6">
        <v>0</v>
      </c>
      <c r="D56" s="6">
        <v>0</v>
      </c>
      <c r="E56" s="6">
        <v>0</v>
      </c>
      <c r="F56" s="6" t="s">
        <v>152</v>
      </c>
    </row>
    <row r="57" spans="1:6" x14ac:dyDescent="0.25">
      <c r="A57" s="4" t="s">
        <v>33</v>
      </c>
      <c r="B57" s="6">
        <v>0</v>
      </c>
      <c r="C57" s="6">
        <v>0</v>
      </c>
      <c r="D57" s="6">
        <v>0</v>
      </c>
      <c r="E57" s="6">
        <v>0</v>
      </c>
      <c r="F57" s="6" t="s">
        <v>152</v>
      </c>
    </row>
    <row r="58" spans="1:6" x14ac:dyDescent="0.25">
      <c r="A58" s="4" t="s">
        <v>34</v>
      </c>
      <c r="B58" s="6">
        <v>0</v>
      </c>
      <c r="C58" s="6">
        <v>0</v>
      </c>
      <c r="D58" s="6">
        <v>0</v>
      </c>
      <c r="E58" s="6">
        <v>0</v>
      </c>
      <c r="F58" s="6" t="s">
        <v>152</v>
      </c>
    </row>
    <row r="59" spans="1:6" x14ac:dyDescent="0.25">
      <c r="A59" s="4" t="s">
        <v>35</v>
      </c>
      <c r="B59" s="6">
        <v>0</v>
      </c>
      <c r="C59" s="6">
        <v>0</v>
      </c>
      <c r="D59" s="6">
        <v>0</v>
      </c>
      <c r="E59" s="6">
        <v>0</v>
      </c>
      <c r="F59" s="6" t="s">
        <v>152</v>
      </c>
    </row>
    <row r="60" spans="1:6" x14ac:dyDescent="0.25">
      <c r="A60" s="4" t="s">
        <v>44</v>
      </c>
      <c r="B60" s="6">
        <v>0</v>
      </c>
      <c r="C60" s="6">
        <v>0</v>
      </c>
      <c r="D60" s="6">
        <v>0</v>
      </c>
      <c r="E60" s="6">
        <v>0</v>
      </c>
      <c r="F60" s="6" t="s">
        <v>152</v>
      </c>
    </row>
    <row r="61" spans="1:6" x14ac:dyDescent="0.25">
      <c r="A61" s="4" t="s">
        <v>47</v>
      </c>
      <c r="B61" s="6">
        <v>0</v>
      </c>
      <c r="C61" s="6">
        <v>0</v>
      </c>
      <c r="D61" s="6">
        <v>0</v>
      </c>
      <c r="E61" s="6">
        <v>0</v>
      </c>
      <c r="F61" s="6" t="s">
        <v>152</v>
      </c>
    </row>
    <row r="62" spans="1:6" x14ac:dyDescent="0.25">
      <c r="A62" s="4" t="s">
        <v>55</v>
      </c>
      <c r="B62" s="6">
        <v>0</v>
      </c>
      <c r="C62" s="6">
        <v>0</v>
      </c>
      <c r="D62" s="6">
        <v>0</v>
      </c>
      <c r="E62" s="6">
        <v>0</v>
      </c>
      <c r="F62" s="6" t="s">
        <v>152</v>
      </c>
    </row>
    <row r="63" spans="1:6" x14ac:dyDescent="0.25">
      <c r="A63" s="4" t="s">
        <v>56</v>
      </c>
      <c r="B63" s="6">
        <v>0</v>
      </c>
      <c r="C63" s="6">
        <v>0</v>
      </c>
      <c r="D63" s="6">
        <v>0</v>
      </c>
      <c r="E63" s="6">
        <v>0</v>
      </c>
      <c r="F63" s="6" t="s">
        <v>152</v>
      </c>
    </row>
    <row r="64" spans="1:6" x14ac:dyDescent="0.25">
      <c r="A64" s="4" t="s">
        <v>57</v>
      </c>
      <c r="B64" s="6">
        <v>0</v>
      </c>
      <c r="C64" s="6">
        <v>0</v>
      </c>
      <c r="D64" s="6">
        <v>0</v>
      </c>
      <c r="E64" s="6">
        <v>0</v>
      </c>
      <c r="F64" s="6" t="s">
        <v>152</v>
      </c>
    </row>
    <row r="65" spans="1:6" x14ac:dyDescent="0.25">
      <c r="A65" s="4" t="s">
        <v>59</v>
      </c>
      <c r="B65" s="6">
        <v>0</v>
      </c>
      <c r="C65" s="6">
        <v>0</v>
      </c>
      <c r="D65" s="6">
        <v>0</v>
      </c>
      <c r="E65" s="6">
        <v>0</v>
      </c>
      <c r="F65" s="6" t="s">
        <v>152</v>
      </c>
    </row>
    <row r="66" spans="1:6" x14ac:dyDescent="0.25">
      <c r="A66" s="4" t="s">
        <v>64</v>
      </c>
      <c r="B66" s="6">
        <v>0</v>
      </c>
      <c r="C66" s="6">
        <v>0</v>
      </c>
      <c r="D66" s="6">
        <v>0</v>
      </c>
      <c r="E66" s="6">
        <v>0</v>
      </c>
      <c r="F66" s="6" t="s">
        <v>152</v>
      </c>
    </row>
    <row r="67" spans="1:6" x14ac:dyDescent="0.25">
      <c r="A67" s="4" t="s">
        <v>65</v>
      </c>
      <c r="B67" s="6">
        <v>0</v>
      </c>
      <c r="C67" s="6">
        <v>0</v>
      </c>
      <c r="D67" s="6">
        <v>0</v>
      </c>
      <c r="E67" s="6">
        <v>0</v>
      </c>
      <c r="F67" s="6" t="s">
        <v>152</v>
      </c>
    </row>
    <row r="68" spans="1:6" x14ac:dyDescent="0.25">
      <c r="A68" s="4" t="s">
        <v>66</v>
      </c>
      <c r="B68" s="6">
        <v>0</v>
      </c>
      <c r="C68" s="6">
        <v>0</v>
      </c>
      <c r="D68" s="6">
        <v>0</v>
      </c>
      <c r="E68" s="6">
        <v>0</v>
      </c>
      <c r="F68" s="6" t="s">
        <v>152</v>
      </c>
    </row>
    <row r="69" spans="1:6" x14ac:dyDescent="0.25">
      <c r="A69" s="4" t="s">
        <v>67</v>
      </c>
      <c r="B69" s="6">
        <v>0</v>
      </c>
      <c r="C69" s="6">
        <v>0</v>
      </c>
      <c r="D69" s="6">
        <v>0</v>
      </c>
      <c r="E69" s="6">
        <v>0</v>
      </c>
      <c r="F69" s="6" t="s">
        <v>152</v>
      </c>
    </row>
    <row r="70" spans="1:6" x14ac:dyDescent="0.25">
      <c r="A70" s="4" t="s">
        <v>68</v>
      </c>
      <c r="B70" s="6">
        <v>0</v>
      </c>
      <c r="C70" s="6">
        <v>0</v>
      </c>
      <c r="D70" s="6">
        <v>0</v>
      </c>
      <c r="E70" s="6">
        <v>0</v>
      </c>
      <c r="F70" s="6" t="s">
        <v>152</v>
      </c>
    </row>
    <row r="71" spans="1:6" x14ac:dyDescent="0.25">
      <c r="A71" s="4" t="s">
        <v>69</v>
      </c>
      <c r="B71" s="6">
        <v>0</v>
      </c>
      <c r="C71" s="6">
        <v>0</v>
      </c>
      <c r="D71" s="6">
        <v>0</v>
      </c>
      <c r="E71" s="6">
        <v>0</v>
      </c>
      <c r="F71" s="6" t="s">
        <v>152</v>
      </c>
    </row>
    <row r="72" spans="1:6" x14ac:dyDescent="0.25">
      <c r="A72" s="4" t="s">
        <v>71</v>
      </c>
      <c r="B72" s="6">
        <v>0</v>
      </c>
      <c r="C72" s="6">
        <v>0</v>
      </c>
      <c r="D72" s="6">
        <v>0</v>
      </c>
      <c r="E72" s="6">
        <v>0</v>
      </c>
      <c r="F72" s="6" t="s">
        <v>152</v>
      </c>
    </row>
    <row r="73" spans="1:6" x14ac:dyDescent="0.25">
      <c r="A73" s="4" t="s">
        <v>72</v>
      </c>
      <c r="B73" s="6">
        <v>0</v>
      </c>
      <c r="C73" s="6">
        <v>0</v>
      </c>
      <c r="D73" s="6">
        <v>0</v>
      </c>
      <c r="E73" s="6">
        <v>0</v>
      </c>
      <c r="F73" s="6" t="s">
        <v>152</v>
      </c>
    </row>
  </sheetData>
  <sortState ref="A2:F79">
    <sortCondition descending="1" ref="B2:B79"/>
    <sortCondition descending="1" ref="C2:C79"/>
    <sortCondition descending="1" ref="D2:D79"/>
    <sortCondition descending="1" ref="E2:E7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8B133-9B70-41D2-A00C-432077E3B510}">
  <dimension ref="A1:E37"/>
  <sheetViews>
    <sheetView workbookViewId="0">
      <selection activeCell="G4" sqref="G4"/>
    </sheetView>
  </sheetViews>
  <sheetFormatPr defaultRowHeight="15" x14ac:dyDescent="0.25"/>
  <cols>
    <col min="1" max="1" width="16.7109375" bestFit="1" customWidth="1"/>
    <col min="2" max="2" width="33" bestFit="1" customWidth="1"/>
    <col min="3" max="3" width="9.85546875" bestFit="1" customWidth="1"/>
    <col min="4" max="4" width="42.140625" bestFit="1" customWidth="1"/>
    <col min="5" max="5" width="43.140625" style="6" bestFit="1" customWidth="1"/>
  </cols>
  <sheetData>
    <row r="1" spans="1:5" s="4" customFormat="1" x14ac:dyDescent="0.25">
      <c r="A1" s="8" t="s">
        <v>153</v>
      </c>
      <c r="B1" s="8" t="s">
        <v>154</v>
      </c>
      <c r="C1" s="8" t="s">
        <v>155</v>
      </c>
      <c r="D1" s="8" t="s">
        <v>158</v>
      </c>
      <c r="E1" s="7" t="s">
        <v>159</v>
      </c>
    </row>
    <row r="2" spans="1:5" x14ac:dyDescent="0.25">
      <c r="A2" s="3" t="s">
        <v>7</v>
      </c>
      <c r="B2" s="9" t="s">
        <v>157</v>
      </c>
      <c r="C2" s="9" t="s">
        <v>156</v>
      </c>
      <c r="D2" s="9" t="str">
        <f t="shared" ref="D2" si="0">B2&amp;""&amp;A2&amp;""&amp;C2</f>
        <v>./data/Angiosperm353/aln_plastid/ccsA.fasta</v>
      </c>
      <c r="E2" s="6" t="s">
        <v>160</v>
      </c>
    </row>
    <row r="3" spans="1:5" x14ac:dyDescent="0.25">
      <c r="A3" s="3" t="s">
        <v>26</v>
      </c>
      <c r="B3" s="9" t="s">
        <v>157</v>
      </c>
      <c r="C3" s="9" t="s">
        <v>156</v>
      </c>
      <c r="D3" s="9" t="str">
        <f t="shared" ref="D3:D37" si="1">B3&amp;""&amp;A3&amp;""&amp;C3</f>
        <v>./data/Angiosperm353/aln_plastid/petL.fasta</v>
      </c>
      <c r="E3" s="6" t="s">
        <v>161</v>
      </c>
    </row>
    <row r="4" spans="1:5" x14ac:dyDescent="0.25">
      <c r="A4" s="3" t="s">
        <v>60</v>
      </c>
      <c r="B4" s="9" t="s">
        <v>157</v>
      </c>
      <c r="C4" s="9" t="s">
        <v>156</v>
      </c>
      <c r="D4" s="9" t="str">
        <f t="shared" si="1"/>
        <v>./data/Angiosperm353/aln_plastid/rps14.fasta</v>
      </c>
      <c r="E4" s="6" t="s">
        <v>162</v>
      </c>
    </row>
    <row r="5" spans="1:5" x14ac:dyDescent="0.25">
      <c r="A5" s="3" t="s">
        <v>9</v>
      </c>
      <c r="B5" s="9" t="s">
        <v>157</v>
      </c>
      <c r="C5" s="9" t="s">
        <v>156</v>
      </c>
      <c r="D5" s="9" t="str">
        <f t="shared" si="1"/>
        <v>./data/Angiosperm353/aln_plastid/clpP.fasta</v>
      </c>
      <c r="E5" s="6" t="s">
        <v>163</v>
      </c>
    </row>
    <row r="6" spans="1:5" x14ac:dyDescent="0.25">
      <c r="A6" s="3" t="s">
        <v>10</v>
      </c>
      <c r="B6" s="9" t="s">
        <v>157</v>
      </c>
      <c r="C6" s="9" t="s">
        <v>156</v>
      </c>
      <c r="D6" s="9" t="str">
        <f t="shared" si="1"/>
        <v>./data/Angiosperm353/aln_plastid/infA.fasta</v>
      </c>
      <c r="E6" s="6" t="s">
        <v>164</v>
      </c>
    </row>
    <row r="7" spans="1:5" x14ac:dyDescent="0.25">
      <c r="A7" s="3" t="s">
        <v>14</v>
      </c>
      <c r="B7" s="9" t="s">
        <v>157</v>
      </c>
      <c r="C7" s="9" t="s">
        <v>156</v>
      </c>
      <c r="D7" s="9" t="str">
        <f t="shared" si="1"/>
        <v>./data/Angiosperm353/aln_plastid/ndhC.fasta</v>
      </c>
      <c r="E7" s="6" t="s">
        <v>165</v>
      </c>
    </row>
    <row r="8" spans="1:5" x14ac:dyDescent="0.25">
      <c r="A8" s="3" t="s">
        <v>18</v>
      </c>
      <c r="B8" s="9" t="s">
        <v>157</v>
      </c>
      <c r="C8" s="9" t="s">
        <v>156</v>
      </c>
      <c r="D8" s="9" t="str">
        <f t="shared" si="1"/>
        <v>./data/Angiosperm353/aln_plastid/ndhG.fasta</v>
      </c>
      <c r="E8" s="6" t="s">
        <v>166</v>
      </c>
    </row>
    <row r="9" spans="1:5" x14ac:dyDescent="0.25">
      <c r="A9" s="3" t="s">
        <v>30</v>
      </c>
      <c r="B9" s="9" t="s">
        <v>157</v>
      </c>
      <c r="C9" s="9" t="s">
        <v>156</v>
      </c>
      <c r="D9" s="9" t="str">
        <f t="shared" si="1"/>
        <v>./data/Angiosperm353/aln_plastid/psaI.fasta</v>
      </c>
      <c r="E9" s="6" t="s">
        <v>167</v>
      </c>
    </row>
    <row r="10" spans="1:5" x14ac:dyDescent="0.25">
      <c r="A10" s="3" t="s">
        <v>36</v>
      </c>
      <c r="B10" s="9" t="s">
        <v>157</v>
      </c>
      <c r="C10" s="9" t="s">
        <v>156</v>
      </c>
      <c r="D10" s="9" t="str">
        <f t="shared" si="1"/>
        <v>./data/Angiosperm353/aln_plastid/psbE.fasta</v>
      </c>
      <c r="E10" s="6" t="s">
        <v>168</v>
      </c>
    </row>
    <row r="11" spans="1:5" x14ac:dyDescent="0.25">
      <c r="A11" s="3" t="s">
        <v>37</v>
      </c>
      <c r="B11" s="9" t="s">
        <v>157</v>
      </c>
      <c r="C11" s="9" t="s">
        <v>156</v>
      </c>
      <c r="D11" s="9" t="str">
        <f t="shared" si="1"/>
        <v>./data/Angiosperm353/aln_plastid/psbH.fasta</v>
      </c>
      <c r="E11" s="6" t="s">
        <v>169</v>
      </c>
    </row>
    <row r="12" spans="1:5" x14ac:dyDescent="0.25">
      <c r="A12" s="3" t="s">
        <v>38</v>
      </c>
      <c r="B12" s="9" t="s">
        <v>157</v>
      </c>
      <c r="C12" s="9" t="s">
        <v>156</v>
      </c>
      <c r="D12" s="9" t="str">
        <f t="shared" si="1"/>
        <v>./data/Angiosperm353/aln_plastid/psbJ.fasta</v>
      </c>
      <c r="E12" s="6" t="s">
        <v>170</v>
      </c>
    </row>
    <row r="13" spans="1:5" x14ac:dyDescent="0.25">
      <c r="A13" s="3" t="s">
        <v>39</v>
      </c>
      <c r="B13" s="9" t="s">
        <v>157</v>
      </c>
      <c r="C13" s="9" t="s">
        <v>156</v>
      </c>
      <c r="D13" s="9" t="str">
        <f t="shared" si="1"/>
        <v>./data/Angiosperm353/aln_plastid/psbK.fasta</v>
      </c>
      <c r="E13" s="6" t="s">
        <v>171</v>
      </c>
    </row>
    <row r="14" spans="1:5" x14ac:dyDescent="0.25">
      <c r="A14" s="3" t="s">
        <v>40</v>
      </c>
      <c r="B14" s="9" t="s">
        <v>157</v>
      </c>
      <c r="C14" s="9" t="s">
        <v>156</v>
      </c>
      <c r="D14" s="9" t="str">
        <f t="shared" si="1"/>
        <v>./data/Angiosperm353/aln_plastid/psbM.fasta</v>
      </c>
      <c r="E14" s="6" t="s">
        <v>172</v>
      </c>
    </row>
    <row r="15" spans="1:5" x14ac:dyDescent="0.25">
      <c r="A15" s="3" t="s">
        <v>41</v>
      </c>
      <c r="B15" s="9" t="s">
        <v>157</v>
      </c>
      <c r="C15" s="9" t="s">
        <v>156</v>
      </c>
      <c r="D15" s="9" t="str">
        <f t="shared" si="1"/>
        <v>./data/Angiosperm353/aln_plastid/psbN.fasta</v>
      </c>
      <c r="E15" s="6" t="s">
        <v>173</v>
      </c>
    </row>
    <row r="16" spans="1:5" x14ac:dyDescent="0.25">
      <c r="A16" s="3" t="s">
        <v>42</v>
      </c>
      <c r="B16" s="9" t="s">
        <v>157</v>
      </c>
      <c r="C16" s="9" t="s">
        <v>156</v>
      </c>
      <c r="D16" s="9" t="str">
        <f t="shared" si="1"/>
        <v>./data/Angiosperm353/aln_plastid/psbT.fasta</v>
      </c>
      <c r="E16" s="6" t="s">
        <v>174</v>
      </c>
    </row>
    <row r="17" spans="1:5" x14ac:dyDescent="0.25">
      <c r="A17" s="3" t="s">
        <v>43</v>
      </c>
      <c r="B17" s="9" t="s">
        <v>157</v>
      </c>
      <c r="C17" s="9" t="s">
        <v>156</v>
      </c>
      <c r="D17" s="9" t="str">
        <f t="shared" si="1"/>
        <v>./data/Angiosperm353/aln_plastid/psbZ.fasta</v>
      </c>
      <c r="E17" s="6" t="s">
        <v>175</v>
      </c>
    </row>
    <row r="18" spans="1:5" x14ac:dyDescent="0.25">
      <c r="A18" s="3" t="s">
        <v>48</v>
      </c>
      <c r="B18" s="9" t="s">
        <v>157</v>
      </c>
      <c r="C18" s="9" t="s">
        <v>156</v>
      </c>
      <c r="D18" s="9" t="str">
        <f t="shared" si="1"/>
        <v>./data/Angiosperm353/aln_plastid/rpl20.fasta</v>
      </c>
      <c r="E18" s="6" t="s">
        <v>176</v>
      </c>
    </row>
    <row r="19" spans="1:5" x14ac:dyDescent="0.25">
      <c r="A19" s="3" t="s">
        <v>50</v>
      </c>
      <c r="B19" s="9" t="s">
        <v>157</v>
      </c>
      <c r="C19" s="9" t="s">
        <v>156</v>
      </c>
      <c r="D19" s="9" t="str">
        <f t="shared" si="1"/>
        <v>./data/Angiosperm353/aln_plastid/rpl23.fasta</v>
      </c>
      <c r="E19" s="6" t="s">
        <v>177</v>
      </c>
    </row>
    <row r="20" spans="1:5" x14ac:dyDescent="0.25">
      <c r="A20" s="3" t="s">
        <v>51</v>
      </c>
      <c r="B20" s="9" t="s">
        <v>157</v>
      </c>
      <c r="C20" s="9" t="s">
        <v>156</v>
      </c>
      <c r="D20" s="9" t="str">
        <f t="shared" si="1"/>
        <v>./data/Angiosperm353/aln_plastid/rpl32.fasta</v>
      </c>
      <c r="E20" s="6" t="s">
        <v>178</v>
      </c>
    </row>
    <row r="21" spans="1:5" x14ac:dyDescent="0.25">
      <c r="A21" s="3" t="s">
        <v>52</v>
      </c>
      <c r="B21" s="9" t="s">
        <v>157</v>
      </c>
      <c r="C21" s="9" t="s">
        <v>156</v>
      </c>
      <c r="D21" s="9" t="str">
        <f t="shared" si="1"/>
        <v>./data/Angiosperm353/aln_plastid/rpl33.fasta</v>
      </c>
      <c r="E21" s="6" t="s">
        <v>179</v>
      </c>
    </row>
    <row r="22" spans="1:5" x14ac:dyDescent="0.25">
      <c r="A22" s="3" t="s">
        <v>53</v>
      </c>
      <c r="B22" s="9" t="s">
        <v>157</v>
      </c>
      <c r="C22" s="9" t="s">
        <v>156</v>
      </c>
      <c r="D22" s="9" t="str">
        <f t="shared" si="1"/>
        <v>./data/Angiosperm353/aln_plastid/rpl36.fasta</v>
      </c>
      <c r="E22" s="6" t="s">
        <v>180</v>
      </c>
    </row>
    <row r="23" spans="1:5" x14ac:dyDescent="0.25">
      <c r="A23" s="3" t="s">
        <v>62</v>
      </c>
      <c r="B23" s="9" t="s">
        <v>157</v>
      </c>
      <c r="C23" s="9" t="s">
        <v>156</v>
      </c>
      <c r="D23" s="9" t="str">
        <f t="shared" si="1"/>
        <v>./data/Angiosperm353/aln_plastid/rps16.fasta</v>
      </c>
      <c r="E23" s="6" t="s">
        <v>181</v>
      </c>
    </row>
    <row r="24" spans="1:5" x14ac:dyDescent="0.25">
      <c r="A24" s="3" t="s">
        <v>63</v>
      </c>
      <c r="B24" s="9" t="s">
        <v>157</v>
      </c>
      <c r="C24" s="9" t="s">
        <v>156</v>
      </c>
      <c r="D24" s="9" t="str">
        <f t="shared" si="1"/>
        <v>./data/Angiosperm353/aln_plastid/rps18.fasta</v>
      </c>
      <c r="E24" s="6" t="s">
        <v>182</v>
      </c>
    </row>
    <row r="25" spans="1:5" x14ac:dyDescent="0.25">
      <c r="A25" s="3" t="s">
        <v>5</v>
      </c>
      <c r="B25" s="9" t="s">
        <v>157</v>
      </c>
      <c r="C25" s="9" t="s">
        <v>156</v>
      </c>
      <c r="D25" s="9" t="str">
        <f t="shared" si="1"/>
        <v>./data/Angiosperm353/aln_plastid/atpF.fasta</v>
      </c>
      <c r="E25" s="6" t="s">
        <v>183</v>
      </c>
    </row>
    <row r="26" spans="1:5" x14ac:dyDescent="0.25">
      <c r="A26" s="3" t="s">
        <v>16</v>
      </c>
      <c r="B26" s="9" t="s">
        <v>157</v>
      </c>
      <c r="C26" s="9" t="s">
        <v>156</v>
      </c>
      <c r="D26" s="9" t="str">
        <f t="shared" si="1"/>
        <v>./data/Angiosperm353/aln_plastid/ndhE.fasta</v>
      </c>
      <c r="E26" s="6" t="s">
        <v>184</v>
      </c>
    </row>
    <row r="27" spans="1:5" x14ac:dyDescent="0.25">
      <c r="A27" s="3" t="s">
        <v>25</v>
      </c>
      <c r="B27" s="9" t="s">
        <v>157</v>
      </c>
      <c r="C27" s="9" t="s">
        <v>156</v>
      </c>
      <c r="D27" s="9" t="str">
        <f t="shared" si="1"/>
        <v>./data/Angiosperm353/aln_plastid/petD.fasta</v>
      </c>
      <c r="E27" s="6" t="s">
        <v>185</v>
      </c>
    </row>
    <row r="28" spans="1:5" x14ac:dyDescent="0.25">
      <c r="A28" s="3" t="s">
        <v>29</v>
      </c>
      <c r="B28" s="9" t="s">
        <v>157</v>
      </c>
      <c r="C28" s="9" t="s">
        <v>156</v>
      </c>
      <c r="D28" s="9" t="str">
        <f t="shared" si="1"/>
        <v>./data/Angiosperm353/aln_plastid/psaC.fasta</v>
      </c>
      <c r="E28" s="6" t="s">
        <v>186</v>
      </c>
    </row>
    <row r="29" spans="1:5" x14ac:dyDescent="0.25">
      <c r="A29" s="3" t="s">
        <v>31</v>
      </c>
      <c r="B29" s="9" t="s">
        <v>157</v>
      </c>
      <c r="C29" s="9" t="s">
        <v>156</v>
      </c>
      <c r="D29" s="9" t="str">
        <f t="shared" si="1"/>
        <v>./data/Angiosperm353/aln_plastid/psaJ.fasta</v>
      </c>
      <c r="E29" s="6" t="s">
        <v>187</v>
      </c>
    </row>
    <row r="30" spans="1:5" x14ac:dyDescent="0.25">
      <c r="A30" s="3" t="s">
        <v>45</v>
      </c>
      <c r="B30" s="9" t="s">
        <v>157</v>
      </c>
      <c r="C30" s="9" t="s">
        <v>156</v>
      </c>
      <c r="D30" s="9" t="str">
        <f t="shared" si="1"/>
        <v>./data/Angiosperm353/aln_plastid/rpl14.fasta</v>
      </c>
      <c r="E30" s="6" t="s">
        <v>188</v>
      </c>
    </row>
    <row r="31" spans="1:5" x14ac:dyDescent="0.25">
      <c r="A31" s="3" t="s">
        <v>49</v>
      </c>
      <c r="B31" s="9" t="s">
        <v>157</v>
      </c>
      <c r="C31" s="9" t="s">
        <v>156</v>
      </c>
      <c r="D31" s="9" t="str">
        <f t="shared" si="1"/>
        <v>./data/Angiosperm353/aln_plastid/rpl22.fasta</v>
      </c>
      <c r="E31" s="6" t="s">
        <v>189</v>
      </c>
    </row>
    <row r="32" spans="1:5" x14ac:dyDescent="0.25">
      <c r="A32" s="3" t="s">
        <v>58</v>
      </c>
      <c r="B32" s="9" t="s">
        <v>157</v>
      </c>
      <c r="C32" s="9" t="s">
        <v>156</v>
      </c>
      <c r="D32" s="9" t="str">
        <f t="shared" si="1"/>
        <v>./data/Angiosperm353/aln_plastid/rps11.fasta</v>
      </c>
      <c r="E32" s="6" t="s">
        <v>190</v>
      </c>
    </row>
    <row r="33" spans="1:5" x14ac:dyDescent="0.25">
      <c r="A33" s="3" t="s">
        <v>61</v>
      </c>
      <c r="B33" s="9" t="s">
        <v>157</v>
      </c>
      <c r="C33" s="9" t="s">
        <v>156</v>
      </c>
      <c r="D33" s="9" t="str">
        <f t="shared" si="1"/>
        <v>./data/Angiosperm353/aln_plastid/rps15.fasta</v>
      </c>
      <c r="E33" s="6" t="s">
        <v>191</v>
      </c>
    </row>
    <row r="34" spans="1:5" x14ac:dyDescent="0.25">
      <c r="A34" s="3" t="s">
        <v>46</v>
      </c>
      <c r="B34" s="9" t="s">
        <v>157</v>
      </c>
      <c r="C34" s="9" t="s">
        <v>156</v>
      </c>
      <c r="D34" s="9" t="str">
        <f t="shared" si="1"/>
        <v>./data/Angiosperm353/aln_plastid/rpl16.fasta</v>
      </c>
      <c r="E34" s="6" t="s">
        <v>192</v>
      </c>
    </row>
    <row r="35" spans="1:5" x14ac:dyDescent="0.25">
      <c r="A35" s="3" t="s">
        <v>70</v>
      </c>
      <c r="B35" s="9" t="s">
        <v>157</v>
      </c>
      <c r="C35" s="9" t="s">
        <v>156</v>
      </c>
      <c r="D35" s="9" t="str">
        <f t="shared" si="1"/>
        <v>./data/Angiosperm353/aln_plastid/ycf2.fasta</v>
      </c>
      <c r="E35" s="6" t="s">
        <v>193</v>
      </c>
    </row>
    <row r="36" spans="1:5" x14ac:dyDescent="0.25">
      <c r="A36" s="3" t="s">
        <v>15</v>
      </c>
      <c r="B36" s="9" t="s">
        <v>157</v>
      </c>
      <c r="C36" s="9" t="s">
        <v>156</v>
      </c>
      <c r="D36" s="9" t="str">
        <f t="shared" si="1"/>
        <v>./data/Angiosperm353/aln_plastid/ndhD.fasta</v>
      </c>
      <c r="E36" s="6" t="s">
        <v>194</v>
      </c>
    </row>
    <row r="37" spans="1:5" x14ac:dyDescent="0.25">
      <c r="A37" s="3" t="s">
        <v>54</v>
      </c>
      <c r="B37" s="9" t="s">
        <v>157</v>
      </c>
      <c r="C37" s="9" t="s">
        <v>156</v>
      </c>
      <c r="D37" s="9" t="str">
        <f t="shared" si="1"/>
        <v>./data/Angiosperm353/aln_plastid/rpoA.fasta</v>
      </c>
      <c r="E37" s="6"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stats</vt:lpstr>
      <vt:lpstr>seqLength</vt:lpstr>
      <vt:lpstr>paralogs</vt:lpstr>
      <vt:lpstr>readCounts</vt:lpstr>
      <vt:lpstr>genes2remove</vt:lpstr>
      <vt:lpstr>files2remove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Beatrice Landoni</dc:creator>
  <cp:lastModifiedBy>Beatrice Landoni</cp:lastModifiedBy>
  <dcterms:created xsi:type="dcterms:W3CDTF">2015-06-05T18:19:34Z</dcterms:created>
  <dcterms:modified xsi:type="dcterms:W3CDTF">2026-03-19T13:25:08Z</dcterms:modified>
</cp:coreProperties>
</file>